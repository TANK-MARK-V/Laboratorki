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/>
  <mc:AlternateContent xmlns:mc="http://schemas.openxmlformats.org/markup-compatibility/2006">
    <mc:Choice Requires="x15">
      <x15ac:absPath xmlns:x15ac="http://schemas.microsoft.com/office/spreadsheetml/2010/11/ac" url="C:\Users\User\Desktop\ПИ-51-54\1_семестр\Астахова_Елена_Витальевна_ТОИ_ОПИ\ТОИ\ТОИ_6_ЛБ\"/>
    </mc:Choice>
  </mc:AlternateContent>
  <xr:revisionPtr revIDLastSave="0" documentId="13_ncr:1_{9741C0A5-D181-4F09-BB26-15AF4C5D5936}" xr6:coauthVersionLast="46" xr6:coauthVersionMax="46" xr10:uidLastSave="{00000000-0000-0000-0000-000000000000}"/>
  <bookViews>
    <workbookView xWindow="10320" yWindow="2940" windowWidth="10695" windowHeight="11445" xr2:uid="{00000000-000D-0000-FFFF-FFFF00000000}"/>
  </bookViews>
  <sheets>
    <sheet name="Задание_1" sheetId="1" r:id="rId1"/>
    <sheet name="Задание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E6" i="1" s="1"/>
  <c r="F6" i="1" s="1"/>
  <c r="G6" i="1" s="1"/>
  <c r="H6" i="1" s="1"/>
  <c r="I6" i="1" s="1"/>
  <c r="J6" i="1" s="1"/>
  <c r="K6" i="1" s="1"/>
  <c r="L6" i="1" s="1"/>
  <c r="M6" i="1" s="1"/>
  <c r="N6" i="1" s="1"/>
  <c r="O6" i="1" s="1"/>
  <c r="P6" i="1" s="1"/>
  <c r="Q6" i="1" s="1"/>
  <c r="R6" i="1" s="1"/>
  <c r="C6" i="1"/>
  <c r="G14" i="2"/>
  <c r="C14" i="2"/>
  <c r="B14" i="2"/>
  <c r="D6" i="2"/>
  <c r="E6" i="2"/>
  <c r="D7" i="2"/>
  <c r="F7" i="2" s="1"/>
  <c r="E7" i="2"/>
  <c r="D8" i="2"/>
  <c r="E8" i="2"/>
  <c r="D9" i="2"/>
  <c r="E9" i="2"/>
  <c r="G9" i="2" s="1"/>
  <c r="D10" i="2"/>
  <c r="E10" i="2"/>
  <c r="D11" i="2"/>
  <c r="E11" i="2"/>
  <c r="D12" i="2"/>
  <c r="E12" i="2"/>
  <c r="D13" i="2"/>
  <c r="F13" i="2" s="1"/>
  <c r="E13" i="2"/>
  <c r="E5" i="2"/>
  <c r="D5" i="2"/>
  <c r="F6" i="2"/>
  <c r="G6" i="2"/>
  <c r="G7" i="2"/>
  <c r="F8" i="2"/>
  <c r="G8" i="2"/>
  <c r="F9" i="2"/>
  <c r="F10" i="2"/>
  <c r="G10" i="2"/>
  <c r="F11" i="2"/>
  <c r="G11" i="2"/>
  <c r="F12" i="2"/>
  <c r="G12" i="2"/>
  <c r="G13" i="2"/>
  <c r="G5" i="2"/>
  <c r="F5" i="2"/>
  <c r="R8" i="1"/>
  <c r="R5" i="1"/>
  <c r="Q5" i="1"/>
  <c r="N5" i="1"/>
  <c r="K5" i="1"/>
  <c r="H5" i="1"/>
  <c r="F5" i="1"/>
  <c r="D5" i="1"/>
  <c r="C5" i="1"/>
  <c r="I7" i="1" l="1"/>
  <c r="Q7" i="1"/>
</calcChain>
</file>

<file path=xl/sharedStrings.xml><?xml version="1.0" encoding="utf-8"?>
<sst xmlns="http://schemas.openxmlformats.org/spreadsheetml/2006/main" count="31" uniqueCount="27">
  <si>
    <t>№ уч.нед.</t>
  </si>
  <si>
    <t>№ лаб.р.</t>
  </si>
  <si>
    <t>Вес лаб.р</t>
  </si>
  <si>
    <t>Рейтинг защиты</t>
  </si>
  <si>
    <t>Взвешенный рейтинг</t>
  </si>
  <si>
    <t>Сумма взвешенных рейтингов с накоплением</t>
  </si>
  <si>
    <t>Итоговые рейтинги за периоды 1-8 и 1-16 недель</t>
  </si>
  <si>
    <t>Суммарный взвешенный рейтинг для лаб.р. с весом 0,1</t>
  </si>
  <si>
    <t>Бонус</t>
  </si>
  <si>
    <t>Фамилия И.О.</t>
  </si>
  <si>
    <t>Студент 1</t>
  </si>
  <si>
    <t>Студент 2</t>
  </si>
  <si>
    <t>Студент 3</t>
  </si>
  <si>
    <t>Студент 4</t>
  </si>
  <si>
    <t>Студент 5</t>
  </si>
  <si>
    <t>Студент 6</t>
  </si>
  <si>
    <t>Студент 7</t>
  </si>
  <si>
    <t>Студент 8</t>
  </si>
  <si>
    <t>Студент 9</t>
  </si>
  <si>
    <t>Средний базовый рейтинг группы</t>
  </si>
  <si>
    <t>Базовый рейтинг</t>
  </si>
  <si>
    <t>Дополнительные баллы</t>
  </si>
  <si>
    <t>Итоговый рейтинг</t>
  </si>
  <si>
    <t>Повышающий коэффициент</t>
  </si>
  <si>
    <t>Аттестация 1</t>
  </si>
  <si>
    <t>Аттестация 2</t>
  </si>
  <si>
    <t>Средний итоговый рейтинг группы за две аттестации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</si>
</sst>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zoomScale="70" zoomScaleNormal="70" workbookViewId="0">
      <selection activeCell="M28" sqref="M28"/>
    </sheetView>
  </sheetViews>
  <sheetFormatPr defaultRowHeight="15" x14ac:dyDescent="0.25"/>
  <cols>
    <col min="1" max="1" width="25.140625" bestFit="1" customWidth="1"/>
  </cols>
  <sheetData>
    <row r="1" spans="1:18" x14ac:dyDescent="0.25">
      <c r="A1" t="s">
        <v>0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</row>
    <row r="2" spans="1:18" x14ac:dyDescent="0.25">
      <c r="A2" t="s">
        <v>1</v>
      </c>
      <c r="C2">
        <v>1</v>
      </c>
      <c r="D2">
        <v>2</v>
      </c>
      <c r="F2">
        <v>3</v>
      </c>
      <c r="H2">
        <v>4</v>
      </c>
      <c r="K2">
        <v>5</v>
      </c>
      <c r="N2">
        <v>6</v>
      </c>
      <c r="Q2">
        <v>7</v>
      </c>
      <c r="R2">
        <v>8</v>
      </c>
    </row>
    <row r="3" spans="1:18" x14ac:dyDescent="0.25">
      <c r="A3" t="s">
        <v>2</v>
      </c>
      <c r="C3" s="3">
        <v>0.1</v>
      </c>
      <c r="D3" s="3">
        <v>0.1</v>
      </c>
      <c r="E3" s="3"/>
      <c r="F3" s="3">
        <v>0.1</v>
      </c>
      <c r="G3" s="3"/>
      <c r="H3" s="3">
        <v>0.1</v>
      </c>
      <c r="I3" s="3"/>
      <c r="J3" s="3"/>
      <c r="K3" s="3">
        <v>0.1</v>
      </c>
      <c r="L3" s="3"/>
      <c r="M3" s="3"/>
      <c r="N3" s="3">
        <v>0.2</v>
      </c>
      <c r="O3" s="3"/>
      <c r="P3" s="3"/>
      <c r="Q3" s="3">
        <v>0.2</v>
      </c>
      <c r="R3" s="3">
        <v>0.1</v>
      </c>
    </row>
    <row r="4" spans="1:18" x14ac:dyDescent="0.25">
      <c r="A4" t="s">
        <v>3</v>
      </c>
      <c r="C4" s="2">
        <v>75</v>
      </c>
      <c r="D4" s="2">
        <v>25</v>
      </c>
      <c r="E4" s="2"/>
      <c r="F4" s="2">
        <v>68</v>
      </c>
      <c r="G4" s="2"/>
      <c r="H4" s="2">
        <v>34</v>
      </c>
      <c r="I4" s="2"/>
      <c r="J4" s="2"/>
      <c r="K4" s="2"/>
      <c r="L4" s="2"/>
      <c r="M4" s="2"/>
      <c r="N4" s="2">
        <v>42</v>
      </c>
      <c r="O4" s="2"/>
      <c r="P4" s="2"/>
      <c r="Q4" s="2">
        <v>25</v>
      </c>
      <c r="R4" s="2"/>
    </row>
    <row r="5" spans="1:18" x14ac:dyDescent="0.25">
      <c r="A5" t="s">
        <v>4</v>
      </c>
      <c r="C5" s="2">
        <f>C4*C3</f>
        <v>7.5</v>
      </c>
      <c r="D5" s="2">
        <f>D4*D3</f>
        <v>2.5</v>
      </c>
      <c r="E5" s="2"/>
      <c r="F5" s="2">
        <f>F4*F3</f>
        <v>6.8000000000000007</v>
      </c>
      <c r="G5" s="2"/>
      <c r="H5" s="2">
        <f>H4*H3</f>
        <v>3.4000000000000004</v>
      </c>
      <c r="I5" s="2"/>
      <c r="J5" s="2"/>
      <c r="K5" s="2">
        <f>K4*K3</f>
        <v>0</v>
      </c>
      <c r="L5" s="2"/>
      <c r="M5" s="2"/>
      <c r="N5" s="2">
        <f>N4*N3</f>
        <v>8.4</v>
      </c>
      <c r="O5" s="2"/>
      <c r="P5" s="2"/>
      <c r="Q5" s="2">
        <f>Q4*Q3</f>
        <v>5</v>
      </c>
      <c r="R5" s="2">
        <f>R4*R3</f>
        <v>0</v>
      </c>
    </row>
    <row r="6" spans="1:18" ht="30" x14ac:dyDescent="0.25">
      <c r="A6" s="1" t="s">
        <v>5</v>
      </c>
      <c r="B6" s="3">
        <v>0</v>
      </c>
      <c r="C6" s="3">
        <f>B6+C5</f>
        <v>7.5</v>
      </c>
      <c r="D6" s="3">
        <f t="shared" ref="D6:R6" si="0">C6+D5</f>
        <v>10</v>
      </c>
      <c r="E6" s="3">
        <f t="shared" si="0"/>
        <v>10</v>
      </c>
      <c r="F6" s="3">
        <f t="shared" si="0"/>
        <v>16.8</v>
      </c>
      <c r="G6" s="3">
        <f t="shared" si="0"/>
        <v>16.8</v>
      </c>
      <c r="H6" s="3">
        <f t="shared" si="0"/>
        <v>20.200000000000003</v>
      </c>
      <c r="I6" s="3">
        <f t="shared" si="0"/>
        <v>20.200000000000003</v>
      </c>
      <c r="J6" s="3">
        <f t="shared" si="0"/>
        <v>20.200000000000003</v>
      </c>
      <c r="K6" s="3">
        <f t="shared" si="0"/>
        <v>20.200000000000003</v>
      </c>
      <c r="L6" s="3">
        <f t="shared" si="0"/>
        <v>20.200000000000003</v>
      </c>
      <c r="M6" s="3">
        <f t="shared" si="0"/>
        <v>20.200000000000003</v>
      </c>
      <c r="N6" s="3">
        <f t="shared" si="0"/>
        <v>28.6</v>
      </c>
      <c r="O6" s="3">
        <f t="shared" si="0"/>
        <v>28.6</v>
      </c>
      <c r="P6" s="3">
        <f t="shared" si="0"/>
        <v>28.6</v>
      </c>
      <c r="Q6" s="3">
        <f t="shared" si="0"/>
        <v>33.6</v>
      </c>
      <c r="R6" s="3">
        <f t="shared" si="0"/>
        <v>33.6</v>
      </c>
    </row>
    <row r="7" spans="1:18" ht="33.75" customHeight="1" x14ac:dyDescent="0.25">
      <c r="A7" s="1" t="s">
        <v>6</v>
      </c>
      <c r="B7" s="3"/>
      <c r="C7" s="3"/>
      <c r="D7" s="3"/>
      <c r="E7" s="3"/>
      <c r="F7" s="3"/>
      <c r="G7" s="3"/>
      <c r="H7" s="3"/>
      <c r="I7" s="3">
        <f>I6 / SUM($B3:I3)</f>
        <v>50.500000000000007</v>
      </c>
      <c r="J7" s="3"/>
      <c r="K7" s="3"/>
      <c r="L7" s="3"/>
      <c r="M7" s="3"/>
      <c r="N7" s="3"/>
      <c r="O7" s="3"/>
      <c r="P7" s="3"/>
      <c r="Q7" s="3">
        <f>Q6 / SUM($B3:Q3)</f>
        <v>37.333333333333336</v>
      </c>
      <c r="R7" s="3"/>
    </row>
    <row r="8" spans="1:18" ht="45" x14ac:dyDescent="0.25">
      <c r="A8" s="1" t="s">
        <v>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f>SUMIF($B3:R3, "= 0,1",$B5:R5)</f>
        <v>20.200000000000003</v>
      </c>
    </row>
    <row r="14" spans="1:18" x14ac:dyDescent="0.25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6" spans="1:18" x14ac:dyDescent="0.25"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spans="1:18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1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1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1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7E5-2AB3-4294-BCA0-CCCD8E62BD4A}">
  <dimension ref="A1:G14"/>
  <sheetViews>
    <sheetView workbookViewId="0">
      <selection activeCell="G17" sqref="G17"/>
    </sheetView>
  </sheetViews>
  <sheetFormatPr defaultRowHeight="15" x14ac:dyDescent="0.25"/>
  <cols>
    <col min="1" max="1" width="17.42578125" customWidth="1"/>
    <col min="2" max="7" width="15.7109375" customWidth="1"/>
  </cols>
  <sheetData>
    <row r="1" spans="1:7" x14ac:dyDescent="0.25">
      <c r="A1" t="s">
        <v>8</v>
      </c>
      <c r="D1" s="6" t="s">
        <v>23</v>
      </c>
      <c r="E1" s="6"/>
    </row>
    <row r="2" spans="1:7" x14ac:dyDescent="0.25">
      <c r="A2" s="2">
        <v>5</v>
      </c>
      <c r="D2" s="4">
        <v>0.15</v>
      </c>
      <c r="E2" s="4">
        <v>0.05</v>
      </c>
    </row>
    <row r="3" spans="1:7" x14ac:dyDescent="0.25">
      <c r="B3" s="6" t="s">
        <v>20</v>
      </c>
      <c r="C3" s="6"/>
      <c r="D3" s="6" t="s">
        <v>21</v>
      </c>
      <c r="E3" s="6"/>
      <c r="F3" s="6" t="s">
        <v>22</v>
      </c>
      <c r="G3" s="6"/>
    </row>
    <row r="4" spans="1:7" x14ac:dyDescent="0.25">
      <c r="A4" t="s">
        <v>9</v>
      </c>
      <c r="B4" t="s">
        <v>24</v>
      </c>
      <c r="C4" t="s">
        <v>25</v>
      </c>
      <c r="D4" t="s">
        <v>24</v>
      </c>
      <c r="E4" t="s">
        <v>25</v>
      </c>
      <c r="F4" t="s">
        <v>24</v>
      </c>
      <c r="G4" t="s">
        <v>25</v>
      </c>
    </row>
    <row r="5" spans="1:7" x14ac:dyDescent="0.25">
      <c r="A5" t="s">
        <v>10</v>
      </c>
      <c r="B5" s="2">
        <v>0</v>
      </c>
      <c r="C5" s="2">
        <v>0</v>
      </c>
      <c r="D5" s="4">
        <f>B5*(1 + D$2)</f>
        <v>0</v>
      </c>
      <c r="E5" s="4">
        <f>C5*(1 + E$2)</f>
        <v>0</v>
      </c>
      <c r="F5" s="2">
        <f>IF(NOT(B5 = 0), D5+$A$2, 0)</f>
        <v>0</v>
      </c>
      <c r="G5" s="2">
        <f>IF(NOT(C5 = 0), E5+$A$2, 0)</f>
        <v>0</v>
      </c>
    </row>
    <row r="6" spans="1:7" x14ac:dyDescent="0.25">
      <c r="A6" t="s">
        <v>11</v>
      </c>
      <c r="B6" s="2">
        <v>0</v>
      </c>
      <c r="C6" s="2">
        <v>0</v>
      </c>
      <c r="D6" s="4">
        <f t="shared" ref="D6:D13" si="0">B6*(1 + D$2)</f>
        <v>0</v>
      </c>
      <c r="E6" s="4">
        <f t="shared" ref="E6:E13" si="1">C6*(1 + E$2)</f>
        <v>0</v>
      </c>
      <c r="F6" s="2">
        <f t="shared" ref="F6:F13" si="2">IF(NOT(B6 = 0), D6+$A$2, 0)</f>
        <v>0</v>
      </c>
      <c r="G6" s="2">
        <f t="shared" ref="G6:G13" si="3">IF(NOT(C6 = 0), E6+$A$2, 0)</f>
        <v>0</v>
      </c>
    </row>
    <row r="7" spans="1:7" x14ac:dyDescent="0.25">
      <c r="A7" t="s">
        <v>12</v>
      </c>
      <c r="B7" s="2">
        <v>75</v>
      </c>
      <c r="C7" s="2">
        <v>0</v>
      </c>
      <c r="D7" s="4">
        <f t="shared" si="0"/>
        <v>86.25</v>
      </c>
      <c r="E7" s="4">
        <f t="shared" si="1"/>
        <v>0</v>
      </c>
      <c r="F7" s="2">
        <f t="shared" si="2"/>
        <v>91.25</v>
      </c>
      <c r="G7" s="2">
        <f t="shared" si="3"/>
        <v>0</v>
      </c>
    </row>
    <row r="8" spans="1:7" x14ac:dyDescent="0.25">
      <c r="A8" t="s">
        <v>13</v>
      </c>
      <c r="B8" s="2">
        <v>0</v>
      </c>
      <c r="C8" s="2">
        <v>0</v>
      </c>
      <c r="D8" s="4">
        <f t="shared" si="0"/>
        <v>0</v>
      </c>
      <c r="E8" s="4">
        <f t="shared" si="1"/>
        <v>0</v>
      </c>
      <c r="F8" s="2">
        <f t="shared" si="2"/>
        <v>0</v>
      </c>
      <c r="G8" s="2">
        <f t="shared" si="3"/>
        <v>0</v>
      </c>
    </row>
    <row r="9" spans="1:7" x14ac:dyDescent="0.25">
      <c r="A9" t="s">
        <v>14</v>
      </c>
      <c r="B9" s="2">
        <v>0</v>
      </c>
      <c r="C9" s="2">
        <v>32</v>
      </c>
      <c r="D9" s="4">
        <f t="shared" si="0"/>
        <v>0</v>
      </c>
      <c r="E9" s="4">
        <f t="shared" si="1"/>
        <v>33.6</v>
      </c>
      <c r="F9" s="2">
        <f t="shared" si="2"/>
        <v>0</v>
      </c>
      <c r="G9" s="2">
        <f t="shared" si="3"/>
        <v>38.6</v>
      </c>
    </row>
    <row r="10" spans="1:7" x14ac:dyDescent="0.25">
      <c r="A10" t="s">
        <v>15</v>
      </c>
      <c r="B10" s="2">
        <v>0</v>
      </c>
      <c r="C10" s="2">
        <v>54</v>
      </c>
      <c r="D10" s="4">
        <f t="shared" si="0"/>
        <v>0</v>
      </c>
      <c r="E10" s="4">
        <f t="shared" si="1"/>
        <v>56.7</v>
      </c>
      <c r="F10" s="2">
        <f t="shared" si="2"/>
        <v>0</v>
      </c>
      <c r="G10" s="2">
        <f t="shared" si="3"/>
        <v>61.7</v>
      </c>
    </row>
    <row r="11" spans="1:7" x14ac:dyDescent="0.25">
      <c r="A11" t="s">
        <v>16</v>
      </c>
      <c r="B11" s="2">
        <v>0</v>
      </c>
      <c r="C11" s="2">
        <v>0</v>
      </c>
      <c r="D11" s="4">
        <f t="shared" si="0"/>
        <v>0</v>
      </c>
      <c r="E11" s="4">
        <f t="shared" si="1"/>
        <v>0</v>
      </c>
      <c r="F11" s="2">
        <f t="shared" si="2"/>
        <v>0</v>
      </c>
      <c r="G11" s="2">
        <f t="shared" si="3"/>
        <v>0</v>
      </c>
    </row>
    <row r="12" spans="1:7" x14ac:dyDescent="0.25">
      <c r="A12" t="s">
        <v>17</v>
      </c>
      <c r="B12" s="2">
        <v>80</v>
      </c>
      <c r="C12" s="2">
        <v>0</v>
      </c>
      <c r="D12" s="4">
        <f t="shared" si="0"/>
        <v>92</v>
      </c>
      <c r="E12" s="4">
        <f t="shared" si="1"/>
        <v>0</v>
      </c>
      <c r="F12" s="2">
        <f t="shared" si="2"/>
        <v>97</v>
      </c>
      <c r="G12" s="2">
        <f t="shared" si="3"/>
        <v>0</v>
      </c>
    </row>
    <row r="13" spans="1:7" x14ac:dyDescent="0.25">
      <c r="A13" t="s">
        <v>18</v>
      </c>
      <c r="B13" s="2">
        <v>25</v>
      </c>
      <c r="C13" s="2">
        <v>0</v>
      </c>
      <c r="D13" s="4">
        <f t="shared" si="0"/>
        <v>28.749999999999996</v>
      </c>
      <c r="E13" s="4">
        <f t="shared" si="1"/>
        <v>0</v>
      </c>
      <c r="F13" s="2">
        <f t="shared" si="2"/>
        <v>33.75</v>
      </c>
      <c r="G13" s="2">
        <f t="shared" si="3"/>
        <v>0</v>
      </c>
    </row>
    <row r="14" spans="1:7" ht="30" x14ac:dyDescent="0.25">
      <c r="A14" s="1" t="s">
        <v>19</v>
      </c>
      <c r="B14" s="4">
        <f>SUM(B5:B13) / COUNTA($A$5:$A$13)</f>
        <v>20</v>
      </c>
      <c r="C14" s="4">
        <f>SUM(C5:C13) / COUNTA($A$5:$A$13)</f>
        <v>9.5555555555555554</v>
      </c>
      <c r="D14" s="7" t="s">
        <v>26</v>
      </c>
      <c r="E14" s="7"/>
      <c r="F14" s="7"/>
      <c r="G14" s="4">
        <f>SUM(F5:G13) / (COUNTA($A$5:$A$13) * 2)</f>
        <v>17.905555555555555</v>
      </c>
    </row>
  </sheetData>
  <mergeCells count="5">
    <mergeCell ref="B3:C3"/>
    <mergeCell ref="D3:E3"/>
    <mergeCell ref="F3:G3"/>
    <mergeCell ref="D1:E1"/>
    <mergeCell ref="D14:F1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Задание_1</vt:lpstr>
      <vt:lpstr>Задание2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Марк</dc:creator>
  <cp:lastModifiedBy>Марк</cp:lastModifiedBy>
  <dcterms:created xsi:type="dcterms:W3CDTF">2015-06-05T18:17:20Z</dcterms:created>
  <dcterms:modified xsi:type="dcterms:W3CDTF">2025-11-06T15:59:58Z</dcterms:modified>
</cp:coreProperties>
</file>