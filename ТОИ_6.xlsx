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/>
  <mc:AlternateContent xmlns:mc="http://schemas.openxmlformats.org/markup-compatibility/2006">
    <mc:Choice Requires="x15">
      <x15ac:absPath xmlns:x15ac="http://schemas.microsoft.com/office/spreadsheetml/2010/11/ac" url="C:\Users\User\Desktop\ПИ-51-54\1_семестр\Астахова_Елена_Витальевна_ТОИ_ОПИ\ТОИ\ТОИ_6_ЛБ\"/>
    </mc:Choice>
  </mc:AlternateContent>
  <xr:revisionPtr revIDLastSave="0" documentId="13_ncr:1_{4ED6FCDD-11C4-44D3-B6DF-EBD1BCF9CAB2}" xr6:coauthVersionLast="46" xr6:coauthVersionMax="46" xr10:uidLastSave="{00000000-0000-0000-0000-000000000000}"/>
  <bookViews>
    <workbookView xWindow="23415" yWindow="6075" windowWidth="10695" windowHeight="11445" activeTab="1" xr2:uid="{00000000-000D-0000-FFFF-FFFF00000000}"/>
  </bookViews>
  <sheets>
    <sheet name="Задание_1" sheetId="1" r:id="rId1"/>
    <sheet name="Задание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2" l="1"/>
  <c r="E6" i="2"/>
  <c r="D7" i="2"/>
  <c r="F7" i="2" s="1"/>
  <c r="E7" i="2"/>
  <c r="D8" i="2"/>
  <c r="E8" i="2"/>
  <c r="D9" i="2"/>
  <c r="E9" i="2"/>
  <c r="G9" i="2" s="1"/>
  <c r="D10" i="2"/>
  <c r="E10" i="2"/>
  <c r="D11" i="2"/>
  <c r="E11" i="2"/>
  <c r="D12" i="2"/>
  <c r="E12" i="2"/>
  <c r="D13" i="2"/>
  <c r="F13" i="2" s="1"/>
  <c r="E13" i="2"/>
  <c r="E5" i="2"/>
  <c r="D5" i="2"/>
  <c r="F6" i="2"/>
  <c r="G6" i="2"/>
  <c r="G7" i="2"/>
  <c r="F8" i="2"/>
  <c r="G8" i="2"/>
  <c r="F9" i="2"/>
  <c r="F10" i="2"/>
  <c r="G10" i="2"/>
  <c r="F11" i="2"/>
  <c r="G11" i="2"/>
  <c r="F12" i="2"/>
  <c r="G12" i="2"/>
  <c r="G13" i="2"/>
  <c r="G5" i="2"/>
  <c r="F5" i="2"/>
  <c r="C14" i="2"/>
  <c r="B14" i="2"/>
  <c r="X18" i="1"/>
  <c r="I21" i="1"/>
  <c r="H21" i="1"/>
  <c r="B21" i="1"/>
  <c r="E19" i="1"/>
  <c r="E20" i="1" s="1"/>
  <c r="B19" i="1"/>
  <c r="R18" i="1"/>
  <c r="Q18" i="1"/>
  <c r="N18" i="1"/>
  <c r="Q19" i="1" s="1"/>
  <c r="Q20" i="1" s="1"/>
  <c r="K18" i="1"/>
  <c r="H18" i="1"/>
  <c r="F18" i="1"/>
  <c r="D18" i="1"/>
  <c r="C18" i="1"/>
  <c r="R21" i="1" s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6" i="1"/>
  <c r="R6" i="1"/>
  <c r="R7" i="1" s="1"/>
  <c r="Q6" i="1"/>
  <c r="Q7" i="1" s="1"/>
  <c r="P6" i="1"/>
  <c r="P7" i="1" s="1"/>
  <c r="O6" i="1"/>
  <c r="O7" i="1" s="1"/>
  <c r="N6" i="1"/>
  <c r="N7" i="1" s="1"/>
  <c r="M6" i="1"/>
  <c r="M7" i="1" s="1"/>
  <c r="L6" i="1"/>
  <c r="L7" i="1" s="1"/>
  <c r="K6" i="1"/>
  <c r="K7" i="1" s="1"/>
  <c r="J6" i="1"/>
  <c r="J7" i="1" s="1"/>
  <c r="I6" i="1"/>
  <c r="I7" i="1" s="1"/>
  <c r="H6" i="1"/>
  <c r="H7" i="1" s="1"/>
  <c r="G6" i="1"/>
  <c r="G7" i="1" s="1"/>
  <c r="F6" i="1"/>
  <c r="F7" i="1" s="1"/>
  <c r="E6" i="1"/>
  <c r="E7" i="1" s="1"/>
  <c r="D6" i="1"/>
  <c r="D7" i="1" s="1"/>
  <c r="C6" i="1"/>
  <c r="C7" i="1" s="1"/>
  <c r="R5" i="1"/>
  <c r="Q5" i="1"/>
  <c r="N5" i="1"/>
  <c r="K5" i="1"/>
  <c r="H5" i="1"/>
  <c r="F5" i="1"/>
  <c r="D5" i="1"/>
  <c r="C5" i="1"/>
  <c r="G14" i="2" l="1"/>
  <c r="D19" i="1"/>
  <c r="D20" i="1" s="1"/>
  <c r="P19" i="1"/>
  <c r="P20" i="1" s="1"/>
  <c r="G21" i="1"/>
  <c r="R19" i="1"/>
  <c r="R20" i="1" s="1"/>
  <c r="G19" i="1"/>
  <c r="G20" i="1" s="1"/>
  <c r="J21" i="1"/>
  <c r="H19" i="1"/>
  <c r="H20" i="1" s="1"/>
  <c r="K21" i="1"/>
  <c r="I19" i="1"/>
  <c r="I20" i="1" s="1"/>
  <c r="L21" i="1"/>
  <c r="J19" i="1"/>
  <c r="J20" i="1" s="1"/>
  <c r="M21" i="1"/>
  <c r="K19" i="1"/>
  <c r="K20" i="1" s="1"/>
  <c r="N21" i="1"/>
  <c r="L19" i="1"/>
  <c r="L20" i="1" s="1"/>
  <c r="C21" i="1"/>
  <c r="O21" i="1"/>
  <c r="M19" i="1"/>
  <c r="M20" i="1" s="1"/>
  <c r="D21" i="1"/>
  <c r="P21" i="1"/>
  <c r="F19" i="1"/>
  <c r="F20" i="1" s="1"/>
  <c r="N19" i="1"/>
  <c r="N20" i="1" s="1"/>
  <c r="E21" i="1"/>
  <c r="Q21" i="1"/>
  <c r="C19" i="1"/>
  <c r="C20" i="1" s="1"/>
  <c r="O19" i="1"/>
  <c r="O20" i="1" s="1"/>
  <c r="F21" i="1"/>
</calcChain>
</file>

<file path=xl/sharedStrings.xml><?xml version="1.0" encoding="utf-8"?>
<sst xmlns="http://schemas.openxmlformats.org/spreadsheetml/2006/main" count="47" uniqueCount="34">
  <si>
    <t>№ уч.нед.</t>
  </si>
  <si>
    <t>№ лаб.р.</t>
  </si>
  <si>
    <t>Вес лаб.р</t>
  </si>
  <si>
    <t>Рейтинг защиты</t>
  </si>
  <si>
    <t>Взвешенный рейтинг</t>
  </si>
  <si>
    <t>Сумма взвешенных рейтингов с накоплением</t>
  </si>
  <si>
    <t>Итоговые рейтинги за периоды 1-8 и 1-16 недель</t>
  </si>
  <si>
    <t>Суммарный взвешенный рейтинг для лаб.р. с весом 0,1</t>
  </si>
  <si>
    <t>D</t>
  </si>
  <si>
    <t>Чему должен быть равным суммарный рейтинг защиты лабораторных работ № 6 и №7 для получения итогового рейтинга за период 1-16 недели, равным 50,0 баллов?</t>
  </si>
  <si>
    <t>Суммарный рейтинг  =</t>
  </si>
  <si>
    <t>(20,2 + S * 0,2) / 0,9 = 50</t>
  </si>
  <si>
    <t>20,2 + S * 0,2 = 45</t>
  </si>
  <si>
    <t>S * 0,2 = 24,8</t>
  </si>
  <si>
    <t>S = 124</t>
  </si>
  <si>
    <t>Бонус</t>
  </si>
  <si>
    <t>Фамилия И.О.</t>
  </si>
  <si>
    <t>Студент 1</t>
  </si>
  <si>
    <t>Студент 2</t>
  </si>
  <si>
    <t>Студент 3</t>
  </si>
  <si>
    <t>Студент 4</t>
  </si>
  <si>
    <t>Студент 5</t>
  </si>
  <si>
    <t>Студент 6</t>
  </si>
  <si>
    <t>Студент 7</t>
  </si>
  <si>
    <t>Студент 8</t>
  </si>
  <si>
    <t>Студент 9</t>
  </si>
  <si>
    <t>Средний базовый рейтинг группы</t>
  </si>
  <si>
    <t>Базовый рейтинг</t>
  </si>
  <si>
    <t>Дополнительные баллы</t>
  </si>
  <si>
    <t>Итоговый рейтинг</t>
  </si>
  <si>
    <t>Повышающий коэффициент</t>
  </si>
  <si>
    <t>Аттестация 1</t>
  </si>
  <si>
    <t>Аттестация 2</t>
  </si>
  <si>
    <t>Средний итоговый рейтинг группы за две аттестации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</si>
</sst>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3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1" fontId="0" fillId="0" borderId="0" xfId="0" applyNumberFormat="1"/>
    <xf numFmtId="168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Fill="1"/>
    <xf numFmtId="168" fontId="0" fillId="2" borderId="0" xfId="0" applyNumberFormat="1" applyFill="1"/>
    <xf numFmtId="0" fontId="0" fillId="3" borderId="0" xfId="0" applyFill="1" applyAlignment="1">
      <alignment horizontal="center"/>
    </xf>
    <xf numFmtId="1" fontId="0" fillId="3" borderId="0" xfId="0" applyNumberFormat="1" applyFill="1" applyAlignment="1">
      <alignment horizontal="left"/>
    </xf>
    <xf numFmtId="168" fontId="0" fillId="4" borderId="0" xfId="0" applyNumberFormat="1" applyFill="1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left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1"/>
  <sheetViews>
    <sheetView zoomScaleNormal="100" workbookViewId="0">
      <selection activeCell="F15" sqref="F15"/>
    </sheetView>
  </sheetViews>
  <sheetFormatPr defaultRowHeight="15" x14ac:dyDescent="0.25"/>
  <cols>
    <col min="1" max="1" width="25.140625" bestFit="1" customWidth="1"/>
  </cols>
  <sheetData>
    <row r="1" spans="1:24" x14ac:dyDescent="0.25">
      <c r="A1" t="s">
        <v>0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</row>
    <row r="2" spans="1:24" x14ac:dyDescent="0.25">
      <c r="A2" t="s">
        <v>1</v>
      </c>
      <c r="C2">
        <v>1</v>
      </c>
      <c r="D2">
        <v>2</v>
      </c>
      <c r="F2">
        <v>3</v>
      </c>
      <c r="H2">
        <v>4</v>
      </c>
      <c r="K2">
        <v>5</v>
      </c>
      <c r="N2">
        <v>6</v>
      </c>
      <c r="Q2">
        <v>7</v>
      </c>
      <c r="R2">
        <v>8</v>
      </c>
    </row>
    <row r="3" spans="1:24" x14ac:dyDescent="0.25">
      <c r="A3" t="s">
        <v>2</v>
      </c>
      <c r="C3" s="3">
        <v>0.1</v>
      </c>
      <c r="D3" s="3">
        <v>0.1</v>
      </c>
      <c r="E3" s="3"/>
      <c r="F3" s="3">
        <v>0.1</v>
      </c>
      <c r="G3" s="3"/>
      <c r="H3" s="3">
        <v>0.1</v>
      </c>
      <c r="I3" s="3"/>
      <c r="J3" s="3"/>
      <c r="K3" s="3">
        <v>0.1</v>
      </c>
      <c r="L3" s="3"/>
      <c r="M3" s="3"/>
      <c r="N3" s="3">
        <v>0.2</v>
      </c>
      <c r="O3" s="3"/>
      <c r="P3" s="3"/>
      <c r="Q3" s="3">
        <v>0.2</v>
      </c>
      <c r="R3" s="3">
        <v>0.1</v>
      </c>
    </row>
    <row r="4" spans="1:24" x14ac:dyDescent="0.25">
      <c r="A4" t="s">
        <v>3</v>
      </c>
      <c r="B4" t="s">
        <v>8</v>
      </c>
      <c r="C4" s="2">
        <v>75</v>
      </c>
      <c r="D4" s="2">
        <v>25</v>
      </c>
      <c r="E4" s="2"/>
      <c r="F4" s="2">
        <v>68</v>
      </c>
      <c r="G4" s="2"/>
      <c r="H4" s="2">
        <v>34</v>
      </c>
      <c r="I4" s="2"/>
      <c r="J4" s="2"/>
      <c r="K4" s="2"/>
      <c r="L4" s="2"/>
      <c r="M4" s="2"/>
      <c r="N4" s="2">
        <v>42</v>
      </c>
      <c r="O4" s="2"/>
      <c r="P4" s="2"/>
      <c r="Q4" s="2">
        <v>25</v>
      </c>
      <c r="R4" s="2"/>
    </row>
    <row r="5" spans="1:24" x14ac:dyDescent="0.25">
      <c r="A5" t="s">
        <v>4</v>
      </c>
      <c r="C5" s="2">
        <f>C4*C3</f>
        <v>7.5</v>
      </c>
      <c r="D5" s="2">
        <f>D4*D3</f>
        <v>2.5</v>
      </c>
      <c r="E5" s="2"/>
      <c r="F5" s="2">
        <f>F4*F3</f>
        <v>6.8000000000000007</v>
      </c>
      <c r="G5" s="2"/>
      <c r="H5" s="2">
        <f>H4*H3</f>
        <v>3.4000000000000004</v>
      </c>
      <c r="I5" s="2"/>
      <c r="J5" s="2"/>
      <c r="K5" s="2">
        <f>K4*K3</f>
        <v>0</v>
      </c>
      <c r="L5" s="2"/>
      <c r="M5" s="2"/>
      <c r="N5" s="2">
        <f>N4*N3</f>
        <v>8.4</v>
      </c>
      <c r="O5" s="2"/>
      <c r="P5" s="2"/>
      <c r="Q5" s="2">
        <f>Q4*Q3</f>
        <v>5</v>
      </c>
      <c r="R5" s="2">
        <f>R4*R3</f>
        <v>0</v>
      </c>
    </row>
    <row r="6" spans="1:24" ht="30" x14ac:dyDescent="0.25">
      <c r="A6" s="1" t="s">
        <v>5</v>
      </c>
      <c r="B6" s="3">
        <f>SUM($B5:B5)</f>
        <v>0</v>
      </c>
      <c r="C6" s="3">
        <f>SUM($B5:C5)</f>
        <v>7.5</v>
      </c>
      <c r="D6" s="3">
        <f>SUM($B5:D5)</f>
        <v>10</v>
      </c>
      <c r="E6" s="3">
        <f>SUM($B5:E5)</f>
        <v>10</v>
      </c>
      <c r="F6" s="3">
        <f>SUM($B5:F5)</f>
        <v>16.8</v>
      </c>
      <c r="G6" s="3">
        <f>SUM($B5:G5)</f>
        <v>16.8</v>
      </c>
      <c r="H6" s="3">
        <f>SUM($B5:H5)</f>
        <v>20.200000000000003</v>
      </c>
      <c r="I6" s="3">
        <f>SUM($B5:I5)</f>
        <v>20.200000000000003</v>
      </c>
      <c r="J6" s="3">
        <f>SUM($B5:J5)</f>
        <v>20.200000000000003</v>
      </c>
      <c r="K6" s="3">
        <f>SUM($B5:K5)</f>
        <v>20.200000000000003</v>
      </c>
      <c r="L6" s="3">
        <f>SUM($B5:L5)</f>
        <v>20.200000000000003</v>
      </c>
      <c r="M6" s="3">
        <f>SUM($B5:M5)</f>
        <v>20.200000000000003</v>
      </c>
      <c r="N6" s="3">
        <f>SUM($B5:N5)</f>
        <v>28.6</v>
      </c>
      <c r="O6" s="3">
        <f>SUM($B5:O5)</f>
        <v>28.6</v>
      </c>
      <c r="P6" s="3">
        <f>SUM($B5:P5)</f>
        <v>28.6</v>
      </c>
      <c r="Q6" s="3">
        <f>SUM($B5:Q5)</f>
        <v>33.6</v>
      </c>
      <c r="R6" s="3">
        <f>SUM($B5:R5)</f>
        <v>33.6</v>
      </c>
    </row>
    <row r="7" spans="1:24" ht="33.75" customHeight="1" x14ac:dyDescent="0.25">
      <c r="A7" s="1" t="s">
        <v>6</v>
      </c>
      <c r="B7" s="3">
        <v>0</v>
      </c>
      <c r="C7" s="3">
        <f>C6 / SUM($B3:C3)</f>
        <v>75</v>
      </c>
      <c r="D7" s="3">
        <f>D6 / SUM($B3:D3)</f>
        <v>50</v>
      </c>
      <c r="E7" s="3">
        <f>E6 / SUM($B3:E3)</f>
        <v>50</v>
      </c>
      <c r="F7" s="3">
        <f>F6 / SUM($B3:F3)</f>
        <v>55.999999999999993</v>
      </c>
      <c r="G7" s="3">
        <f>G6 / SUM($B3:G3)</f>
        <v>55.999999999999993</v>
      </c>
      <c r="H7" s="3">
        <f>H6 / SUM($B3:H3)</f>
        <v>50.500000000000007</v>
      </c>
      <c r="I7" s="8">
        <f>I6 / SUM($B3:I3)</f>
        <v>50.500000000000007</v>
      </c>
      <c r="J7" s="3">
        <f>J6 / SUM($B3:J3)</f>
        <v>50.500000000000007</v>
      </c>
      <c r="K7" s="3">
        <f>K6 / SUM($B3:K3)</f>
        <v>40.400000000000006</v>
      </c>
      <c r="L7" s="3">
        <f>L6 / SUM($B3:L3)</f>
        <v>40.400000000000006</v>
      </c>
      <c r="M7" s="3">
        <f>M6 / SUM($B3:M3)</f>
        <v>40.400000000000006</v>
      </c>
      <c r="N7" s="3">
        <f>N6 / SUM($B3:N3)</f>
        <v>40.857142857142861</v>
      </c>
      <c r="O7" s="3">
        <f>O6 / SUM($B3:O3)</f>
        <v>40.857142857142861</v>
      </c>
      <c r="P7" s="3">
        <f>P6 / SUM($B3:P3)</f>
        <v>40.857142857142861</v>
      </c>
      <c r="Q7" s="8">
        <f>Q6 / SUM($B3:Q3)</f>
        <v>37.333333333333336</v>
      </c>
      <c r="R7" s="3">
        <f>R6 / SUM($B3:R3)</f>
        <v>33.600000000000009</v>
      </c>
    </row>
    <row r="8" spans="1:24" ht="45" x14ac:dyDescent="0.25">
      <c r="A8" s="1" t="s">
        <v>7</v>
      </c>
      <c r="B8" s="3">
        <f>SUMIF($B3:B3, "= 0,1",$B5:B5)</f>
        <v>0</v>
      </c>
      <c r="C8" s="3">
        <f>SUMIF($B3:C3, "= 0,1",$B5:C5)</f>
        <v>7.5</v>
      </c>
      <c r="D8" s="3">
        <f>SUMIF($B3:D3, "= 0,1",$B5:D5)</f>
        <v>10</v>
      </c>
      <c r="E8" s="3">
        <f>SUMIF($B3:E3, "= 0,1",$B5:E5)</f>
        <v>10</v>
      </c>
      <c r="F8" s="3">
        <f>SUMIF($B3:F3, "= 0,1",$B5:F5)</f>
        <v>16.8</v>
      </c>
      <c r="G8" s="3">
        <f>SUMIF($B3:G3, "= 0,1",$B5:G5)</f>
        <v>16.8</v>
      </c>
      <c r="H8" s="3">
        <f>SUMIF($B3:H3, "= 0,1",$B5:H5)</f>
        <v>20.200000000000003</v>
      </c>
      <c r="I8" s="3">
        <f>SUMIF($B3:I3, "= 0,1",$B5:I5)</f>
        <v>20.200000000000003</v>
      </c>
      <c r="J8" s="3">
        <f>SUMIF($B3:J3, "= 0,1",$B5:J5)</f>
        <v>20.200000000000003</v>
      </c>
      <c r="K8" s="3">
        <f>SUMIF($B3:K3, "= 0,1",$B5:K5)</f>
        <v>20.200000000000003</v>
      </c>
      <c r="L8" s="3">
        <f>SUMIF($B3:L3, "= 0,1",$B5:L5)</f>
        <v>20.200000000000003</v>
      </c>
      <c r="M8" s="3">
        <f>SUMIF($B3:M3, "= 0,1",$B5:M5)</f>
        <v>20.200000000000003</v>
      </c>
      <c r="N8" s="3">
        <f>SUMIF($B3:N3, "= 0,1",$B5:N5)</f>
        <v>20.200000000000003</v>
      </c>
      <c r="O8" s="3">
        <f>SUMIF($B3:O3, "= 0,1",$B5:O5)</f>
        <v>20.200000000000003</v>
      </c>
      <c r="P8" s="3">
        <f>SUMIF($B3:P3, "= 0,1",$B5:P5)</f>
        <v>20.200000000000003</v>
      </c>
      <c r="Q8" s="3">
        <f>SUMIF($B3:Q3, "= 0,1",$B5:Q5)</f>
        <v>20.200000000000003</v>
      </c>
      <c r="R8" s="3">
        <f>SUMIF($B3:R3, "= 0,1",$B5:R5)</f>
        <v>20.200000000000003</v>
      </c>
    </row>
    <row r="10" spans="1:24" ht="18.75" x14ac:dyDescent="0.3">
      <c r="B10" s="6" t="s">
        <v>9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U10" s="12" t="s">
        <v>11</v>
      </c>
      <c r="V10" s="12"/>
      <c r="W10" s="12"/>
      <c r="X10" s="12"/>
    </row>
    <row r="11" spans="1:24" ht="18.75" x14ac:dyDescent="0.3">
      <c r="U11" s="12" t="s">
        <v>12</v>
      </c>
      <c r="V11" s="12"/>
      <c r="W11" s="12"/>
      <c r="X11" s="12"/>
    </row>
    <row r="12" spans="1:24" ht="18.75" x14ac:dyDescent="0.3">
      <c r="U12" s="12" t="s">
        <v>13</v>
      </c>
      <c r="V12" s="12"/>
      <c r="W12" s="12"/>
      <c r="X12" s="12"/>
    </row>
    <row r="13" spans="1:24" ht="18.75" x14ac:dyDescent="0.3">
      <c r="U13" s="13" t="s">
        <v>14</v>
      </c>
      <c r="V13" s="13"/>
      <c r="W13" s="13"/>
      <c r="X13" s="13"/>
    </row>
    <row r="14" spans="1:24" x14ac:dyDescent="0.25">
      <c r="A14" t="s">
        <v>0</v>
      </c>
      <c r="B14" s="5">
        <v>1</v>
      </c>
      <c r="C14" s="5">
        <v>2</v>
      </c>
      <c r="D14" s="5">
        <v>3</v>
      </c>
      <c r="E14" s="5">
        <v>4</v>
      </c>
      <c r="F14" s="5">
        <v>5</v>
      </c>
      <c r="G14" s="5">
        <v>6</v>
      </c>
      <c r="H14" s="5">
        <v>7</v>
      </c>
      <c r="I14" s="5">
        <v>8</v>
      </c>
      <c r="J14" s="5">
        <v>9</v>
      </c>
      <c r="K14" s="5">
        <v>10</v>
      </c>
      <c r="L14" s="5">
        <v>11</v>
      </c>
      <c r="M14" s="5">
        <v>12</v>
      </c>
      <c r="N14" s="5">
        <v>13</v>
      </c>
      <c r="O14" s="5">
        <v>14</v>
      </c>
      <c r="P14" s="5">
        <v>15</v>
      </c>
      <c r="Q14" s="5">
        <v>16</v>
      </c>
      <c r="R14" s="5">
        <v>17</v>
      </c>
    </row>
    <row r="15" spans="1:24" x14ac:dyDescent="0.25">
      <c r="A15" t="s">
        <v>1</v>
      </c>
      <c r="C15">
        <v>1</v>
      </c>
      <c r="D15">
        <v>2</v>
      </c>
      <c r="F15">
        <v>3</v>
      </c>
      <c r="H15">
        <v>4</v>
      </c>
      <c r="K15">
        <v>5</v>
      </c>
      <c r="N15">
        <v>6</v>
      </c>
      <c r="Q15">
        <v>7</v>
      </c>
      <c r="R15">
        <v>8</v>
      </c>
    </row>
    <row r="16" spans="1:24" x14ac:dyDescent="0.25">
      <c r="A16" t="s">
        <v>2</v>
      </c>
      <c r="C16" s="3">
        <v>0.1</v>
      </c>
      <c r="D16" s="3">
        <v>0.1</v>
      </c>
      <c r="E16" s="3"/>
      <c r="F16" s="3">
        <v>0.1</v>
      </c>
      <c r="G16" s="3"/>
      <c r="H16" s="3">
        <v>0.1</v>
      </c>
      <c r="I16" s="3"/>
      <c r="J16" s="3"/>
      <c r="K16" s="3">
        <v>0.1</v>
      </c>
      <c r="L16" s="3"/>
      <c r="M16" s="3"/>
      <c r="N16" s="3">
        <v>0.2</v>
      </c>
      <c r="O16" s="3"/>
      <c r="P16" s="3"/>
      <c r="Q16" s="3">
        <v>0.2</v>
      </c>
      <c r="R16" s="3">
        <v>0.1</v>
      </c>
    </row>
    <row r="17" spans="1:24" x14ac:dyDescent="0.25">
      <c r="A17" t="s">
        <v>3</v>
      </c>
      <c r="B17" t="s">
        <v>8</v>
      </c>
      <c r="C17" s="2">
        <v>75</v>
      </c>
      <c r="D17" s="2">
        <v>25</v>
      </c>
      <c r="E17" s="2"/>
      <c r="F17" s="2">
        <v>68</v>
      </c>
      <c r="G17" s="2"/>
      <c r="H17" s="2">
        <v>34</v>
      </c>
      <c r="I17" s="2"/>
      <c r="J17" s="2"/>
      <c r="K17" s="2"/>
      <c r="L17" s="2"/>
      <c r="M17" s="2"/>
      <c r="N17" s="2">
        <v>100</v>
      </c>
      <c r="O17" s="2"/>
      <c r="P17" s="2"/>
      <c r="Q17" s="2">
        <v>24</v>
      </c>
      <c r="R17" s="2"/>
    </row>
    <row r="18" spans="1:24" x14ac:dyDescent="0.25">
      <c r="A18" t="s">
        <v>4</v>
      </c>
      <c r="C18" s="2">
        <f>C17*C16</f>
        <v>7.5</v>
      </c>
      <c r="D18" s="2">
        <f>D17*D16</f>
        <v>2.5</v>
      </c>
      <c r="E18" s="2"/>
      <c r="F18" s="2">
        <f>F17*F16</f>
        <v>6.8000000000000007</v>
      </c>
      <c r="G18" s="2"/>
      <c r="H18" s="2">
        <f>H17*H16</f>
        <v>3.4000000000000004</v>
      </c>
      <c r="I18" s="2"/>
      <c r="J18" s="2"/>
      <c r="K18" s="2">
        <f>K17*K16</f>
        <v>0</v>
      </c>
      <c r="L18" s="2"/>
      <c r="M18" s="2"/>
      <c r="N18" s="2">
        <f>N17*N16</f>
        <v>20</v>
      </c>
      <c r="O18" s="2"/>
      <c r="P18" s="2"/>
      <c r="Q18" s="2">
        <f>Q17*Q16</f>
        <v>4.8000000000000007</v>
      </c>
      <c r="R18" s="2">
        <f>R17*R16</f>
        <v>0</v>
      </c>
      <c r="U18" s="9" t="s">
        <v>10</v>
      </c>
      <c r="V18" s="9"/>
      <c r="W18" s="9"/>
      <c r="X18" s="10">
        <f>N17+Q17</f>
        <v>124</v>
      </c>
    </row>
    <row r="19" spans="1:24" ht="30" x14ac:dyDescent="0.25">
      <c r="A19" s="1" t="s">
        <v>5</v>
      </c>
      <c r="B19" s="3">
        <f>SUM($B18:B18)</f>
        <v>0</v>
      </c>
      <c r="C19" s="3">
        <f>SUM($B18:C18)</f>
        <v>7.5</v>
      </c>
      <c r="D19" s="3">
        <f>SUM($B18:D18)</f>
        <v>10</v>
      </c>
      <c r="E19" s="3">
        <f>SUM($B18:E18)</f>
        <v>10</v>
      </c>
      <c r="F19" s="3">
        <f>SUM($B18:F18)</f>
        <v>16.8</v>
      </c>
      <c r="G19" s="3">
        <f>SUM($B18:G18)</f>
        <v>16.8</v>
      </c>
      <c r="H19" s="3">
        <f>SUM($B18:H18)</f>
        <v>20.200000000000003</v>
      </c>
      <c r="I19" s="3">
        <f>SUM($B18:I18)</f>
        <v>20.200000000000003</v>
      </c>
      <c r="J19" s="3">
        <f>SUM($B18:J18)</f>
        <v>20.200000000000003</v>
      </c>
      <c r="K19" s="3">
        <f>SUM($B18:K18)</f>
        <v>20.200000000000003</v>
      </c>
      <c r="L19" s="3">
        <f>SUM($B18:L18)</f>
        <v>20.200000000000003</v>
      </c>
      <c r="M19" s="11">
        <f>SUM($B18:M18)</f>
        <v>20.200000000000003</v>
      </c>
      <c r="N19" s="3">
        <f>SUM($B18:N18)</f>
        <v>40.200000000000003</v>
      </c>
      <c r="O19" s="3">
        <f>SUM($B18:O18)</f>
        <v>40.200000000000003</v>
      </c>
      <c r="P19" s="3">
        <f>SUM($B18:P18)</f>
        <v>40.200000000000003</v>
      </c>
      <c r="Q19" s="3">
        <f>SUM($B18:Q18)</f>
        <v>45</v>
      </c>
      <c r="R19" s="3">
        <f>SUM($B18:R18)</f>
        <v>45</v>
      </c>
    </row>
    <row r="20" spans="1:24" ht="45" x14ac:dyDescent="0.25">
      <c r="A20" s="1" t="s">
        <v>6</v>
      </c>
      <c r="B20" s="3">
        <v>0</v>
      </c>
      <c r="C20" s="3">
        <f>C19 / SUM($B16:C16)</f>
        <v>75</v>
      </c>
      <c r="D20" s="3">
        <f>D19 / SUM($B16:D16)</f>
        <v>50</v>
      </c>
      <c r="E20" s="3">
        <f>E19 / SUM($B16:E16)</f>
        <v>50</v>
      </c>
      <c r="F20" s="3">
        <f>F19 / SUM($B16:F16)</f>
        <v>55.999999999999993</v>
      </c>
      <c r="G20" s="3">
        <f>G19 / SUM($B16:G16)</f>
        <v>55.999999999999993</v>
      </c>
      <c r="H20" s="3">
        <f>H19 / SUM($B16:H16)</f>
        <v>50.500000000000007</v>
      </c>
      <c r="I20" s="7">
        <f>I19 / SUM($B16:I16)</f>
        <v>50.500000000000007</v>
      </c>
      <c r="J20" s="3">
        <f>J19 / SUM($B16:J16)</f>
        <v>50.500000000000007</v>
      </c>
      <c r="K20" s="3">
        <f>K19 / SUM($B16:K16)</f>
        <v>40.400000000000006</v>
      </c>
      <c r="L20" s="3">
        <f>L19 / SUM($B16:L16)</f>
        <v>40.400000000000006</v>
      </c>
      <c r="M20" s="3">
        <f>M19 / SUM($B16:M16)</f>
        <v>40.400000000000006</v>
      </c>
      <c r="N20" s="3">
        <f>N19 / SUM($B16:N16)</f>
        <v>57.428571428571438</v>
      </c>
      <c r="O20" s="3">
        <f>O19 / SUM($B16:O16)</f>
        <v>57.428571428571438</v>
      </c>
      <c r="P20" s="3">
        <f>P19 / SUM($B16:P16)</f>
        <v>57.428571428571438</v>
      </c>
      <c r="Q20" s="8">
        <f>Q19 / SUM($B16:Q16)</f>
        <v>50.000000000000007</v>
      </c>
      <c r="R20" s="3">
        <f>R19 / SUM($B16:R16)</f>
        <v>45.000000000000007</v>
      </c>
    </row>
    <row r="21" spans="1:24" ht="45" x14ac:dyDescent="0.25">
      <c r="A21" s="1" t="s">
        <v>7</v>
      </c>
      <c r="B21" s="3">
        <f>SUMIF($B16:B16, "= 0,1",$B18:B18)</f>
        <v>0</v>
      </c>
      <c r="C21" s="3">
        <f>SUMIF($B16:C16, "= 0,1",$B18:C18)</f>
        <v>7.5</v>
      </c>
      <c r="D21" s="3">
        <f>SUMIF($B16:D16, "= 0,1",$B18:D18)</f>
        <v>10</v>
      </c>
      <c r="E21" s="3">
        <f>SUMIF($B16:E16, "= 0,1",$B18:E18)</f>
        <v>10</v>
      </c>
      <c r="F21" s="3">
        <f>SUMIF($B16:F16, "= 0,1",$B18:F18)</f>
        <v>16.8</v>
      </c>
      <c r="G21" s="3">
        <f>SUMIF($B16:G16, "= 0,1",$B18:G18)</f>
        <v>16.8</v>
      </c>
      <c r="H21" s="3">
        <f>SUMIF($B16:H16, "= 0,1",$B18:H18)</f>
        <v>20.200000000000003</v>
      </c>
      <c r="I21" s="3">
        <f>SUMIF($B16:I16, "= 0,1",$B18:I18)</f>
        <v>20.200000000000003</v>
      </c>
      <c r="J21" s="3">
        <f>SUMIF($B16:J16, "= 0,1",$B18:J18)</f>
        <v>20.200000000000003</v>
      </c>
      <c r="K21" s="3">
        <f>SUMIF($B16:K16, "= 0,1",$B18:K18)</f>
        <v>20.200000000000003</v>
      </c>
      <c r="L21" s="3">
        <f>SUMIF($B16:L16, "= 0,1",$B18:L18)</f>
        <v>20.200000000000003</v>
      </c>
      <c r="M21" s="3">
        <f>SUMIF($B16:M16, "= 0,1",$B18:M18)</f>
        <v>20.200000000000003</v>
      </c>
      <c r="N21" s="3">
        <f>SUMIF($B16:N16, "= 0,1",$B18:N18)</f>
        <v>20.200000000000003</v>
      </c>
      <c r="O21" s="3">
        <f>SUMIF($B16:O16, "= 0,1",$B18:O18)</f>
        <v>20.200000000000003</v>
      </c>
      <c r="P21" s="3">
        <f>SUMIF($B16:P16, "= 0,1",$B18:P18)</f>
        <v>20.200000000000003</v>
      </c>
      <c r="Q21" s="3">
        <f>SUMIF($B16:Q16, "= 0,1",$B18:Q18)</f>
        <v>20.200000000000003</v>
      </c>
      <c r="R21" s="3">
        <f>SUMIF($B16:R16, "= 0,1",$B18:R18)</f>
        <v>20.200000000000003</v>
      </c>
    </row>
  </sheetData>
  <mergeCells count="6">
    <mergeCell ref="U13:X13"/>
    <mergeCell ref="B10:R10"/>
    <mergeCell ref="U18:W18"/>
    <mergeCell ref="U10:X10"/>
    <mergeCell ref="U11:X11"/>
    <mergeCell ref="U12:X1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DF7E5-2AB3-4294-BCA0-CCCD8E62BD4A}">
  <dimension ref="A1:G14"/>
  <sheetViews>
    <sheetView tabSelected="1" workbookViewId="0">
      <selection activeCell="D27" sqref="D27"/>
    </sheetView>
  </sheetViews>
  <sheetFormatPr defaultRowHeight="15" x14ac:dyDescent="0.25"/>
  <cols>
    <col min="1" max="1" width="17.42578125" customWidth="1"/>
    <col min="2" max="7" width="15.7109375" customWidth="1"/>
  </cols>
  <sheetData>
    <row r="1" spans="1:7" x14ac:dyDescent="0.25">
      <c r="A1" t="s">
        <v>15</v>
      </c>
      <c r="D1" s="6" t="s">
        <v>30</v>
      </c>
      <c r="E1" s="6"/>
    </row>
    <row r="2" spans="1:7" x14ac:dyDescent="0.25">
      <c r="A2" s="2">
        <v>5</v>
      </c>
      <c r="D2" s="4">
        <v>0.15</v>
      </c>
      <c r="E2" s="4">
        <v>0.05</v>
      </c>
    </row>
    <row r="3" spans="1:7" x14ac:dyDescent="0.25">
      <c r="B3" s="6" t="s">
        <v>27</v>
      </c>
      <c r="C3" s="6"/>
      <c r="D3" s="6" t="s">
        <v>28</v>
      </c>
      <c r="E3" s="6"/>
      <c r="F3" s="6" t="s">
        <v>29</v>
      </c>
      <c r="G3" s="6"/>
    </row>
    <row r="4" spans="1:7" x14ac:dyDescent="0.25">
      <c r="A4" t="s">
        <v>16</v>
      </c>
      <c r="B4" t="s">
        <v>31</v>
      </c>
      <c r="C4" t="s">
        <v>32</v>
      </c>
      <c r="D4" t="s">
        <v>31</v>
      </c>
      <c r="E4" t="s">
        <v>32</v>
      </c>
      <c r="F4" t="s">
        <v>31</v>
      </c>
      <c r="G4" t="s">
        <v>32</v>
      </c>
    </row>
    <row r="5" spans="1:7" x14ac:dyDescent="0.25">
      <c r="A5" t="s">
        <v>17</v>
      </c>
      <c r="B5" s="2">
        <v>0</v>
      </c>
      <c r="C5" s="2">
        <v>0</v>
      </c>
      <c r="D5" s="4">
        <f>B5*(1 + D$2)</f>
        <v>0</v>
      </c>
      <c r="E5" s="4">
        <f>C5*(1 + E$2)</f>
        <v>0</v>
      </c>
      <c r="F5" s="2">
        <f>IF(NOT(B5 = 0), D5+$A$2, 0)</f>
        <v>0</v>
      </c>
      <c r="G5" s="2">
        <f>IF(NOT(C5 = 0), E5+$A$2, 0)</f>
        <v>0</v>
      </c>
    </row>
    <row r="6" spans="1:7" x14ac:dyDescent="0.25">
      <c r="A6" t="s">
        <v>18</v>
      </c>
      <c r="B6" s="2">
        <v>0</v>
      </c>
      <c r="C6" s="2">
        <v>0</v>
      </c>
      <c r="D6" s="4">
        <f t="shared" ref="D6:D13" si="0">B6*(1 + D$2)</f>
        <v>0</v>
      </c>
      <c r="E6" s="4">
        <f t="shared" ref="E6:E13" si="1">C6*(1 + E$2)</f>
        <v>0</v>
      </c>
      <c r="F6" s="2">
        <f t="shared" ref="F6:F13" si="2">IF(NOT(B6 = 0), D6+$A$2, 0)</f>
        <v>0</v>
      </c>
      <c r="G6" s="2">
        <f t="shared" ref="G6:G13" si="3">IF(NOT(C6 = 0), E6+$A$2, 0)</f>
        <v>0</v>
      </c>
    </row>
    <row r="7" spans="1:7" x14ac:dyDescent="0.25">
      <c r="A7" t="s">
        <v>19</v>
      </c>
      <c r="B7" s="2">
        <v>75</v>
      </c>
      <c r="C7" s="2">
        <v>0</v>
      </c>
      <c r="D7" s="4">
        <f t="shared" si="0"/>
        <v>86.25</v>
      </c>
      <c r="E7" s="4">
        <f t="shared" si="1"/>
        <v>0</v>
      </c>
      <c r="F7" s="2">
        <f t="shared" si="2"/>
        <v>91.25</v>
      </c>
      <c r="G7" s="2">
        <f t="shared" si="3"/>
        <v>0</v>
      </c>
    </row>
    <row r="8" spans="1:7" x14ac:dyDescent="0.25">
      <c r="A8" t="s">
        <v>20</v>
      </c>
      <c r="B8" s="2">
        <v>0</v>
      </c>
      <c r="C8" s="2">
        <v>0</v>
      </c>
      <c r="D8" s="4">
        <f t="shared" si="0"/>
        <v>0</v>
      </c>
      <c r="E8" s="4">
        <f t="shared" si="1"/>
        <v>0</v>
      </c>
      <c r="F8" s="2">
        <f t="shared" si="2"/>
        <v>0</v>
      </c>
      <c r="G8" s="2">
        <f t="shared" si="3"/>
        <v>0</v>
      </c>
    </row>
    <row r="9" spans="1:7" x14ac:dyDescent="0.25">
      <c r="A9" t="s">
        <v>21</v>
      </c>
      <c r="B9" s="2">
        <v>0</v>
      </c>
      <c r="C9" s="2">
        <v>32</v>
      </c>
      <c r="D9" s="4">
        <f t="shared" si="0"/>
        <v>0</v>
      </c>
      <c r="E9" s="4">
        <f t="shared" si="1"/>
        <v>33.6</v>
      </c>
      <c r="F9" s="2">
        <f t="shared" si="2"/>
        <v>0</v>
      </c>
      <c r="G9" s="2">
        <f t="shared" si="3"/>
        <v>38.6</v>
      </c>
    </row>
    <row r="10" spans="1:7" x14ac:dyDescent="0.25">
      <c r="A10" t="s">
        <v>22</v>
      </c>
      <c r="B10" s="2">
        <v>0</v>
      </c>
      <c r="C10" s="2">
        <v>54</v>
      </c>
      <c r="D10" s="4">
        <f t="shared" si="0"/>
        <v>0</v>
      </c>
      <c r="E10" s="4">
        <f t="shared" si="1"/>
        <v>56.7</v>
      </c>
      <c r="F10" s="2">
        <f t="shared" si="2"/>
        <v>0</v>
      </c>
      <c r="G10" s="2">
        <f t="shared" si="3"/>
        <v>61.7</v>
      </c>
    </row>
    <row r="11" spans="1:7" x14ac:dyDescent="0.25">
      <c r="A11" t="s">
        <v>23</v>
      </c>
      <c r="B11" s="2">
        <v>0</v>
      </c>
      <c r="C11" s="2">
        <v>0</v>
      </c>
      <c r="D11" s="4">
        <f t="shared" si="0"/>
        <v>0</v>
      </c>
      <c r="E11" s="4">
        <f t="shared" si="1"/>
        <v>0</v>
      </c>
      <c r="F11" s="2">
        <f t="shared" si="2"/>
        <v>0</v>
      </c>
      <c r="G11" s="2">
        <f t="shared" si="3"/>
        <v>0</v>
      </c>
    </row>
    <row r="12" spans="1:7" x14ac:dyDescent="0.25">
      <c r="A12" t="s">
        <v>24</v>
      </c>
      <c r="B12" s="2">
        <v>80</v>
      </c>
      <c r="C12" s="2">
        <v>0</v>
      </c>
      <c r="D12" s="4">
        <f t="shared" si="0"/>
        <v>92</v>
      </c>
      <c r="E12" s="4">
        <f t="shared" si="1"/>
        <v>0</v>
      </c>
      <c r="F12" s="2">
        <f t="shared" si="2"/>
        <v>97</v>
      </c>
      <c r="G12" s="2">
        <f t="shared" si="3"/>
        <v>0</v>
      </c>
    </row>
    <row r="13" spans="1:7" x14ac:dyDescent="0.25">
      <c r="A13" t="s">
        <v>25</v>
      </c>
      <c r="B13" s="2">
        <v>25</v>
      </c>
      <c r="C13" s="2">
        <v>0</v>
      </c>
      <c r="D13" s="4">
        <f t="shared" si="0"/>
        <v>28.749999999999996</v>
      </c>
      <c r="E13" s="4">
        <f t="shared" si="1"/>
        <v>0</v>
      </c>
      <c r="F13" s="2">
        <f t="shared" si="2"/>
        <v>33.75</v>
      </c>
      <c r="G13" s="2">
        <f t="shared" si="3"/>
        <v>0</v>
      </c>
    </row>
    <row r="14" spans="1:7" ht="30" x14ac:dyDescent="0.25">
      <c r="A14" s="1" t="s">
        <v>26</v>
      </c>
      <c r="B14" s="4">
        <f>AVERAGE(B5:B13)</f>
        <v>20</v>
      </c>
      <c r="C14" s="4">
        <f>AVERAGE(C5:C13)</f>
        <v>9.5555555555555554</v>
      </c>
      <c r="D14" s="14" t="s">
        <v>33</v>
      </c>
      <c r="E14" s="14"/>
      <c r="F14" s="14"/>
      <c r="G14" s="4">
        <f>AVERAGE(F5:G13)</f>
        <v>17.905555555555555</v>
      </c>
    </row>
  </sheetData>
  <mergeCells count="5">
    <mergeCell ref="B3:C3"/>
    <mergeCell ref="D3:E3"/>
    <mergeCell ref="F3:G3"/>
    <mergeCell ref="D1:E1"/>
    <mergeCell ref="D14:F1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Задание_1</vt:lpstr>
      <vt:lpstr>Задание2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Марк</dc:creator>
  <cp:lastModifiedBy>Марк</cp:lastModifiedBy>
  <dcterms:created xsi:type="dcterms:W3CDTF">2015-06-05T18:17:20Z</dcterms:created>
  <dcterms:modified xsi:type="dcterms:W3CDTF">2025-11-01T10:36:34Z</dcterms:modified>
</cp:coreProperties>
</file>