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ПИ-51-54\1_семестр\Астахова_Елена_Витальевна_ТОИ_ОПИ\ТОИ\ТОИ_7_ЛБ\"/>
    </mc:Choice>
  </mc:AlternateContent>
  <xr:revisionPtr revIDLastSave="0" documentId="13_ncr:1_{393368AD-2CE7-4975-B6FA-2CB114AA41F1}" xr6:coauthVersionLast="46" xr6:coauthVersionMax="46" xr10:uidLastSave="{00000000-0000-0000-0000-000000000000}"/>
  <bookViews>
    <workbookView xWindow="16575" yWindow="4080" windowWidth="10695" windowHeight="11445" xr2:uid="{00000000-000D-0000-FFFF-FFFF00000000}"/>
  </bookViews>
  <sheets>
    <sheet name="Задание_1" sheetId="3" r:id="rId1"/>
    <sheet name="Задание_2" sheetId="4" r:id="rId2"/>
    <sheet name="Задание_3.1" sheetId="13" r:id="rId3"/>
    <sheet name="Задание_3.2" sheetId="14" r:id="rId4"/>
    <sheet name="Склад1" sheetId="7" r:id="rId5"/>
    <sheet name="Склад2" sheetId="8" r:id="rId6"/>
    <sheet name="Склад3" sheetId="9" r:id="rId7"/>
    <sheet name="Склад_1-3" sheetId="11" r:id="rId8"/>
    <sheet name="Задание_4" sheetId="15" r:id="rId9"/>
    <sheet name="Таблица_1" sheetId="17" r:id="rId10"/>
    <sheet name="Таблица_2" sheetId="18" r:id="rId11"/>
    <sheet name="Таблица_3" sheetId="20" r:id="rId12"/>
    <sheet name="Таблица_4" sheetId="21" r:id="rId13"/>
    <sheet name="Таблица_5" sheetId="24" r:id="rId14"/>
  </sheets>
  <calcPr calcId="191029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4" l="1"/>
  <c r="C2" i="14"/>
  <c r="B3" i="14"/>
  <c r="C3" i="14"/>
  <c r="B4" i="14"/>
  <c r="C4" i="14"/>
  <c r="B5" i="14"/>
  <c r="C5" i="14"/>
  <c r="B6" i="14"/>
  <c r="B9" i="14" s="1"/>
  <c r="C6" i="14"/>
  <c r="C9" i="14" s="1"/>
  <c r="B7" i="14"/>
  <c r="C7" i="14"/>
  <c r="B8" i="14"/>
  <c r="C8" i="14"/>
  <c r="B10" i="14"/>
  <c r="C10" i="14"/>
  <c r="B11" i="14"/>
  <c r="C11" i="14"/>
  <c r="B12" i="14"/>
  <c r="C12" i="14"/>
  <c r="B13" i="14"/>
  <c r="C13" i="14"/>
  <c r="B14" i="14"/>
  <c r="C14" i="14"/>
  <c r="B15" i="14"/>
  <c r="B17" i="14" s="1"/>
  <c r="C15" i="14"/>
  <c r="B16" i="14"/>
  <c r="C16" i="14"/>
  <c r="C17" i="14"/>
  <c r="B18" i="14"/>
  <c r="B21" i="14" s="1"/>
  <c r="C18" i="14"/>
  <c r="C21" i="14" s="1"/>
  <c r="B19" i="14"/>
  <c r="C19" i="14"/>
  <c r="B20" i="14"/>
  <c r="C20" i="14"/>
  <c r="B22" i="14"/>
  <c r="C22" i="14"/>
  <c r="B23" i="14"/>
  <c r="C23" i="14"/>
  <c r="B24" i="14"/>
  <c r="C24" i="14"/>
  <c r="B25" i="14"/>
  <c r="C25" i="14"/>
  <c r="C2" i="13" l="1"/>
  <c r="D2" i="13"/>
  <c r="C3" i="13"/>
  <c r="D3" i="13"/>
  <c r="C4" i="13"/>
  <c r="D4" i="13"/>
  <c r="C5" i="13"/>
  <c r="D5" i="13"/>
  <c r="C6" i="13"/>
  <c r="C9" i="13" s="1"/>
  <c r="D6" i="13"/>
  <c r="D9" i="13" s="1"/>
  <c r="C7" i="13"/>
  <c r="D7" i="13"/>
  <c r="C8" i="13"/>
  <c r="D8" i="13"/>
  <c r="C10" i="13"/>
  <c r="D10" i="13"/>
  <c r="C11" i="13"/>
  <c r="D11" i="13"/>
  <c r="C12" i="13"/>
  <c r="D12" i="13"/>
  <c r="C13" i="13"/>
  <c r="D13" i="13"/>
  <c r="C14" i="13"/>
  <c r="D14" i="13"/>
  <c r="C15" i="13"/>
  <c r="C17" i="13" s="1"/>
  <c r="D15" i="13"/>
  <c r="D17" i="13" s="1"/>
  <c r="C16" i="13"/>
  <c r="D16" i="13"/>
  <c r="C18" i="13"/>
  <c r="C21" i="13" s="1"/>
  <c r="D18" i="13"/>
  <c r="D21" i="13" s="1"/>
  <c r="C19" i="13"/>
  <c r="D19" i="13"/>
  <c r="C20" i="13"/>
  <c r="D20" i="13"/>
  <c r="C22" i="13"/>
  <c r="D22" i="13"/>
  <c r="C23" i="13"/>
  <c r="D23" i="13"/>
  <c r="C24" i="13"/>
  <c r="D24" i="13"/>
  <c r="C25" i="13"/>
  <c r="D25" i="13"/>
  <c r="L7" i="11"/>
  <c r="H7" i="11"/>
  <c r="C7" i="11"/>
  <c r="L6" i="11"/>
  <c r="H6" i="11"/>
  <c r="C6" i="11"/>
  <c r="L5" i="11"/>
  <c r="H5" i="11"/>
  <c r="C5" i="11"/>
  <c r="L4" i="11"/>
  <c r="H4" i="11"/>
  <c r="C4" i="11"/>
  <c r="L3" i="11"/>
  <c r="H3" i="11"/>
  <c r="C3" i="11"/>
  <c r="L2" i="11"/>
  <c r="H2" i="11"/>
  <c r="C2" i="11"/>
  <c r="C7" i="9"/>
  <c r="C6" i="9"/>
  <c r="C5" i="9"/>
  <c r="C4" i="9"/>
  <c r="C3" i="9"/>
  <c r="C2" i="9"/>
  <c r="C7" i="8"/>
  <c r="C6" i="8"/>
  <c r="C5" i="8"/>
  <c r="C4" i="8"/>
  <c r="C3" i="8"/>
  <c r="C2" i="8"/>
  <c r="C7" i="7"/>
  <c r="C6" i="7"/>
  <c r="C5" i="7"/>
  <c r="C4" i="7"/>
  <c r="C3" i="7"/>
  <c r="C2" i="7"/>
  <c r="C18" i="4"/>
  <c r="E18" i="4"/>
  <c r="A18" i="4"/>
  <c r="G3" i="4"/>
  <c r="G4" i="4"/>
  <c r="G5" i="4"/>
  <c r="G6" i="4"/>
  <c r="G7" i="4"/>
  <c r="G8" i="4"/>
  <c r="G9" i="4"/>
  <c r="G10" i="4"/>
  <c r="G11" i="4"/>
  <c r="G2" i="4"/>
  <c r="E24" i="3"/>
  <c r="E21" i="3"/>
  <c r="E18" i="3"/>
  <c r="E15" i="3"/>
  <c r="E11" i="3"/>
  <c r="E6" i="3"/>
  <c r="E3" i="3"/>
  <c r="E26" i="3" s="1"/>
  <c r="D25" i="3"/>
  <c r="D22" i="3"/>
  <c r="D19" i="3"/>
  <c r="D16" i="3"/>
  <c r="D12" i="3"/>
  <c r="D7" i="3"/>
  <c r="D4" i="3"/>
  <c r="D27" i="3" s="1"/>
</calcChain>
</file>

<file path=xl/sharedStrings.xml><?xml version="1.0" encoding="utf-8"?>
<sst xmlns="http://schemas.openxmlformats.org/spreadsheetml/2006/main" count="280" uniqueCount="79">
  <si>
    <t>Фамилия</t>
  </si>
  <si>
    <t>Дата рождения</t>
  </si>
  <si>
    <t>Отдел</t>
  </si>
  <si>
    <t>Должность</t>
  </si>
  <si>
    <t>Оклад (руб)</t>
  </si>
  <si>
    <t>Пестова</t>
  </si>
  <si>
    <t>Парадова</t>
  </si>
  <si>
    <t>Воронин</t>
  </si>
  <si>
    <t>Кришин</t>
  </si>
  <si>
    <t>Градова</t>
  </si>
  <si>
    <t>Радостин</t>
  </si>
  <si>
    <t>Пронин</t>
  </si>
  <si>
    <t>Аверин</t>
  </si>
  <si>
    <t>Ядрина</t>
  </si>
  <si>
    <t>Гудков</t>
  </si>
  <si>
    <t>ОК</t>
  </si>
  <si>
    <t>ОГЭ</t>
  </si>
  <si>
    <t>ОГМ</t>
  </si>
  <si>
    <t>ОГК</t>
  </si>
  <si>
    <t>Бухгалтер</t>
  </si>
  <si>
    <t>Инспектор</t>
  </si>
  <si>
    <t>Электрик</t>
  </si>
  <si>
    <t>Контролер</t>
  </si>
  <si>
    <t>Механик</t>
  </si>
  <si>
    <t>Конструктор</t>
  </si>
  <si>
    <t>Инженер</t>
  </si>
  <si>
    <t>Конструктор Количество</t>
  </si>
  <si>
    <t>Инженер Количество</t>
  </si>
  <si>
    <t>Механик Количество</t>
  </si>
  <si>
    <t>Электрик Количество</t>
  </si>
  <si>
    <t>Контролер Количество</t>
  </si>
  <si>
    <t>Бухгалтер Количество</t>
  </si>
  <si>
    <t>Инспектор Количество</t>
  </si>
  <si>
    <t>Общее количество</t>
  </si>
  <si>
    <t>ОГК Итог</t>
  </si>
  <si>
    <t>ОГМ Итог</t>
  </si>
  <si>
    <t>ОГЭ Итог</t>
  </si>
  <si>
    <t>ОК Итог</t>
  </si>
  <si>
    <t>Общий итог</t>
  </si>
  <si>
    <t>Пол</t>
  </si>
  <si>
    <t>Кол-во детей</t>
  </si>
  <si>
    <t>Ж</t>
  </si>
  <si>
    <t>М</t>
  </si>
  <si>
    <t>Возраст на 
01.01.2020</t>
  </si>
  <si>
    <t>Дата</t>
  </si>
  <si>
    <t>1.</t>
  </si>
  <si>
    <t>&gt;= 40</t>
  </si>
  <si>
    <t>2.</t>
  </si>
  <si>
    <t>3.</t>
  </si>
  <si>
    <t>Наимненование Товара</t>
  </si>
  <si>
    <t>Количество</t>
  </si>
  <si>
    <t>Стоимость</t>
  </si>
  <si>
    <t>Футболка с обезьянкой</t>
  </si>
  <si>
    <t>Футболка с машинкой</t>
  </si>
  <si>
    <t>Баксетбольная майка</t>
  </si>
  <si>
    <t>Свитер для гиков</t>
  </si>
  <si>
    <t>Толстовка с сердечком</t>
  </si>
  <si>
    <t>Кепка с котом</t>
  </si>
  <si>
    <t>Тои_7</t>
  </si>
  <si>
    <t>Поставщик</t>
  </si>
  <si>
    <t>Товар</t>
  </si>
  <si>
    <t>Цена</t>
  </si>
  <si>
    <t>Сумма</t>
  </si>
  <si>
    <t>ООО "Вита"</t>
  </si>
  <si>
    <t>апельсины</t>
  </si>
  <si>
    <t>бананы</t>
  </si>
  <si>
    <t>ЧП Петров</t>
  </si>
  <si>
    <t>абрикосы</t>
  </si>
  <si>
    <t>киви</t>
  </si>
  <si>
    <t>ОАО Агро</t>
  </si>
  <si>
    <t>картофель</t>
  </si>
  <si>
    <t>лук</t>
  </si>
  <si>
    <t>капуста</t>
  </si>
  <si>
    <t>Названия строк</t>
  </si>
  <si>
    <t>Сумма по полю Цена</t>
  </si>
  <si>
    <t>Сумма по полю Сумма</t>
  </si>
  <si>
    <t>(Все)</t>
  </si>
  <si>
    <t>Названия столбцов</t>
  </si>
  <si>
    <t>Сумма по полю 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</si>
</sst>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#,##0.00\ &quot;₽&quot;"/>
    <numFmt numFmtId="166" formatCode="#,##0\ &quot;₽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/>
    </xf>
    <xf numFmtId="3" fontId="3" fillId="0" borderId="0" xfId="0" applyNumberFormat="1" applyFont="1"/>
    <xf numFmtId="0" fontId="4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/>
    <xf numFmtId="14" fontId="0" fillId="2" borderId="0" xfId="0" applyNumberFormat="1" applyFill="1"/>
    <xf numFmtId="1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3" fontId="5" fillId="2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6" fontId="3" fillId="0" borderId="0" xfId="0" applyNumberFormat="1" applyFont="1"/>
    <xf numFmtId="166" fontId="3" fillId="0" borderId="0" xfId="0" applyNumberFormat="1" applyFont="1" applyAlignment="1">
      <alignment wrapText="1"/>
    </xf>
    <xf numFmtId="165" fontId="5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166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арк" refreshedDate="45968.830904513889" createdVersion="6" refreshedVersion="6" minRefreshableVersion="3" recordCount="11" xr:uid="{CC7919A2-158D-48B7-A5EA-4B511C4BFB16}">
  <cacheSource type="worksheet">
    <worksheetSource ref="A1:F12" sheet="Задание_4"/>
  </cacheSource>
  <cacheFields count="6">
    <cacheField name="Дата" numFmtId="14">
      <sharedItems containsSemiMixedTypes="0" containsNonDate="0" containsDate="1" containsString="0" minDate="2023-01-19T00:00:00" maxDate="2023-01-25T00:00:00" count="5">
        <d v="2023-01-19T00:00:00"/>
        <d v="2023-01-20T00:00:00"/>
        <d v="2023-01-21T00:00:00"/>
        <d v="2023-01-22T00:00:00"/>
        <d v="2023-01-24T00:00:00"/>
      </sharedItems>
    </cacheField>
    <cacheField name="Поставщик" numFmtId="0">
      <sharedItems count="3">
        <s v="ООО &quot;Вита&quot;"/>
        <s v="ЧП Петров"/>
        <s v="ОАО Агро"/>
      </sharedItems>
    </cacheField>
    <cacheField name="Товар" numFmtId="0">
      <sharedItems count="7">
        <s v="апельсины"/>
        <s v="бананы"/>
        <s v="абрикосы"/>
        <s v="киви"/>
        <s v="картофель"/>
        <s v="лук"/>
        <s v="капуста"/>
      </sharedItems>
    </cacheField>
    <cacheField name="Цена" numFmtId="0">
      <sharedItems containsSemiMixedTypes="0" containsString="0" containsNumber="1" containsInteger="1" minValue="45" maxValue="200" count="10">
        <n v="200"/>
        <n v="150"/>
        <n v="120"/>
        <n v="145"/>
        <n v="75"/>
        <n v="45"/>
        <n v="50"/>
        <n v="180"/>
        <n v="135"/>
        <n v="80"/>
      </sharedItems>
    </cacheField>
    <cacheField name="Количество" numFmtId="0">
      <sharedItems containsSemiMixedTypes="0" containsString="0" containsNumber="1" containsInteger="1" minValue="1" maxValue="120"/>
    </cacheField>
    <cacheField name="Сумма" numFmtId="0">
      <sharedItems containsSemiMixedTypes="0" containsString="0" containsNumber="1" containsInteger="1" minValue="50" maxValue="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  <x v="0"/>
    <n v="30"/>
    <n v="6000"/>
  </r>
  <r>
    <x v="1"/>
    <x v="0"/>
    <x v="1"/>
    <x v="1"/>
    <n v="30"/>
    <n v="4500"/>
  </r>
  <r>
    <x v="2"/>
    <x v="1"/>
    <x v="2"/>
    <x v="2"/>
    <n v="10"/>
    <n v="1200"/>
  </r>
  <r>
    <x v="2"/>
    <x v="1"/>
    <x v="3"/>
    <x v="3"/>
    <n v="50"/>
    <n v="7250"/>
  </r>
  <r>
    <x v="3"/>
    <x v="2"/>
    <x v="4"/>
    <x v="4"/>
    <n v="120"/>
    <n v="9000"/>
  </r>
  <r>
    <x v="3"/>
    <x v="2"/>
    <x v="5"/>
    <x v="5"/>
    <n v="2"/>
    <n v="90"/>
  </r>
  <r>
    <x v="3"/>
    <x v="2"/>
    <x v="6"/>
    <x v="6"/>
    <n v="40"/>
    <n v="2000"/>
  </r>
  <r>
    <x v="4"/>
    <x v="0"/>
    <x v="0"/>
    <x v="7"/>
    <n v="20"/>
    <n v="3600"/>
  </r>
  <r>
    <x v="4"/>
    <x v="0"/>
    <x v="1"/>
    <x v="8"/>
    <n v="15"/>
    <n v="2025"/>
  </r>
  <r>
    <x v="4"/>
    <x v="2"/>
    <x v="4"/>
    <x v="9"/>
    <n v="70"/>
    <n v="5600"/>
  </r>
  <r>
    <x v="4"/>
    <x v="2"/>
    <x v="5"/>
    <x v="6"/>
    <n v="1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0C4D4-59D1-4854-A700-767CEC651595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:C7" firstHeaderRow="0" firstDataRow="1" firstDataCol="1"/>
  <pivotFields count="6">
    <pivotField axis="axisRow" numFmtId="14" showAll="0">
      <items count="6">
        <item x="0"/>
        <item x="1"/>
        <item x="2"/>
        <item x="3"/>
        <item x="4"/>
        <item t="default"/>
      </items>
    </pivotField>
    <pivotField showAll="0"/>
    <pivotField showAll="0">
      <items count="8">
        <item x="2"/>
        <item x="0"/>
        <item x="1"/>
        <item x="6"/>
        <item x="4"/>
        <item x="3"/>
        <item x="5"/>
        <item t="default"/>
      </items>
    </pivotField>
    <pivotField dataField="1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Цена" fld="3" baseField="0" baseItem="0"/>
    <dataField name="Сумма по полю Сумма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D1C28-3C1D-41F3-94D4-EE60270A3B0D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22" firstHeaderRow="1" firstDataRow="1" firstDataCol="1" rowPageCount="1" colPageCount="1"/>
  <pivotFields count="6">
    <pivotField axis="axisPage" numFmtId="14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8">
        <item x="2"/>
        <item x="0"/>
        <item x="1"/>
        <item x="6"/>
        <item x="4"/>
        <item x="3"/>
        <item x="5"/>
        <item t="default"/>
      </items>
    </pivotField>
    <pivotField axis="axisRow" showAll="0">
      <items count="11">
        <item x="5"/>
        <item x="6"/>
        <item x="4"/>
        <item x="9"/>
        <item x="2"/>
        <item x="8"/>
        <item x="3"/>
        <item x="1"/>
        <item x="7"/>
        <item x="0"/>
        <item t="default"/>
      </items>
    </pivotField>
    <pivotField showAll="0"/>
    <pivotField dataField="1" showAll="0"/>
  </pivotFields>
  <rowFields count="2">
    <field x="2"/>
    <field x="3"/>
  </rowFields>
  <rowItems count="19">
    <i>
      <x/>
    </i>
    <i r="1">
      <x v="4"/>
    </i>
    <i>
      <x v="1"/>
    </i>
    <i r="1">
      <x v="8"/>
    </i>
    <i r="1">
      <x v="9"/>
    </i>
    <i>
      <x v="2"/>
    </i>
    <i r="1">
      <x v="5"/>
    </i>
    <i r="1">
      <x v="7"/>
    </i>
    <i>
      <x v="3"/>
    </i>
    <i r="1">
      <x v="1"/>
    </i>
    <i>
      <x v="4"/>
    </i>
    <i r="1">
      <x v="2"/>
    </i>
    <i r="1">
      <x v="3"/>
    </i>
    <i>
      <x v="5"/>
    </i>
    <i r="1">
      <x v="6"/>
    </i>
    <i>
      <x v="6"/>
    </i>
    <i r="1">
      <x/>
    </i>
    <i r="1">
      <x v="1"/>
    </i>
    <i t="grand">
      <x/>
    </i>
  </rowItems>
  <colItems count="1">
    <i/>
  </colItems>
  <pageFields count="1">
    <pageField fld="0" hier="-1"/>
  </pageFields>
  <dataFields count="1">
    <dataField name="Сумма по полю Сумма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00DE6-8ED7-4BA4-ACB1-64E57BEDD15E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:B12" firstHeaderRow="1" firstDataRow="1" firstDataCol="1"/>
  <pivotFields count="6">
    <pivotField numFmtId="14" showAll="0">
      <items count="6">
        <item x="0"/>
        <item x="1"/>
        <item x="2"/>
        <item x="3"/>
        <item x="4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Row" showAll="0">
      <items count="8">
        <item x="2"/>
        <item x="0"/>
        <item x="1"/>
        <item x="6"/>
        <item x="4"/>
        <item x="3"/>
        <item x="5"/>
        <item t="default"/>
      </items>
    </pivotField>
    <pivotField showAll="0">
      <items count="11">
        <item x="5"/>
        <item x="6"/>
        <item x="4"/>
        <item x="9"/>
        <item x="2"/>
        <item x="8"/>
        <item x="3"/>
        <item x="1"/>
        <item x="7"/>
        <item x="0"/>
        <item t="default"/>
      </items>
    </pivotField>
    <pivotField dataField="1" showAll="0"/>
    <pivotField showAll="0"/>
  </pivotFields>
  <rowFields count="2">
    <field x="1"/>
    <field x="2"/>
  </rowFields>
  <rowItems count="11">
    <i>
      <x/>
    </i>
    <i r="1">
      <x v="3"/>
    </i>
    <i r="1">
      <x v="4"/>
    </i>
    <i r="1">
      <x v="6"/>
    </i>
    <i>
      <x v="1"/>
    </i>
    <i r="1">
      <x v="1"/>
    </i>
    <i r="1">
      <x v="2"/>
    </i>
    <i>
      <x v="2"/>
    </i>
    <i r="1">
      <x/>
    </i>
    <i r="1">
      <x v="5"/>
    </i>
    <i t="grand">
      <x/>
    </i>
  </rowItems>
  <colItems count="1">
    <i/>
  </colItems>
  <dataFields count="1">
    <dataField name="Сумма по полю Количество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6926F-AB7F-4E23-BD87-52B884378989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:E10" firstHeaderRow="1" firstDataRow="2" firstDataCol="1"/>
  <pivotFields count="6">
    <pivotField numFmtId="14" showAll="0">
      <items count="6">
        <item x="0"/>
        <item x="1"/>
        <item x="2"/>
        <item x="3"/>
        <item x="4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Row" showAll="0">
      <items count="8">
        <item x="2"/>
        <item x="0"/>
        <item x="1"/>
        <item x="6"/>
        <item x="4"/>
        <item x="3"/>
        <item x="5"/>
        <item t="default"/>
      </items>
    </pivotField>
    <pivotField showAll="0">
      <items count="11">
        <item x="5"/>
        <item x="6"/>
        <item x="4"/>
        <item x="9"/>
        <item x="2"/>
        <item x="8"/>
        <item x="3"/>
        <item x="1"/>
        <item x="7"/>
        <item x="0"/>
        <item t="default"/>
      </items>
    </pivotField>
    <pivotField dataFiel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Сумма по полю Количество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ABE30-9F4D-4EEC-8837-56D02DB712ED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1:E10" firstHeaderRow="1" firstDataRow="2" firstDataCol="1"/>
  <pivotFields count="6">
    <pivotField compact="0" numFmtId="14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0"/>
        <item x="1"/>
        <item x="6"/>
        <item x="4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0">
        <item x="5"/>
        <item x="6"/>
        <item x="4"/>
        <item x="9"/>
        <item x="2"/>
        <item x="8"/>
        <item x="3"/>
        <item x="1"/>
        <item x="7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Сумма по полю Количество" fld="4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98DF-549E-473F-8690-295623006841}">
  <dimension ref="A1:L27"/>
  <sheetViews>
    <sheetView tabSelected="1" workbookViewId="0">
      <selection activeCell="G19" sqref="G19"/>
    </sheetView>
  </sheetViews>
  <sheetFormatPr defaultRowHeight="15" outlineLevelRow="3" x14ac:dyDescent="0.25"/>
  <cols>
    <col min="1" max="1" width="9.7109375" bestFit="1" customWidth="1"/>
    <col min="2" max="2" width="10.7109375" customWidth="1"/>
    <col min="3" max="3" width="23.85546875" bestFit="1" customWidth="1"/>
    <col min="4" max="4" width="12.42578125" style="1" bestFit="1" customWidth="1"/>
    <col min="5" max="5" width="12.5703125" bestFit="1" customWidth="1"/>
  </cols>
  <sheetData>
    <row r="1" spans="1:12" ht="30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H1" s="2"/>
      <c r="I1" s="3"/>
      <c r="J1" s="2"/>
      <c r="K1" s="2"/>
      <c r="L1" s="3"/>
    </row>
    <row r="2" spans="1:12" outlineLevel="3" x14ac:dyDescent="0.25">
      <c r="A2" s="4" t="s">
        <v>13</v>
      </c>
      <c r="B2" s="7">
        <v>29500</v>
      </c>
      <c r="C2" s="5" t="s">
        <v>18</v>
      </c>
      <c r="D2" s="6" t="s">
        <v>24</v>
      </c>
      <c r="E2" s="25">
        <v>69148</v>
      </c>
      <c r="H2" s="4"/>
      <c r="I2" s="7"/>
      <c r="J2" s="5"/>
      <c r="K2" s="6"/>
      <c r="L2" s="8"/>
    </row>
    <row r="3" spans="1:12" outlineLevel="2" x14ac:dyDescent="0.25">
      <c r="A3" s="4"/>
      <c r="B3" s="7"/>
      <c r="C3" s="9" t="s">
        <v>34</v>
      </c>
      <c r="D3" s="6"/>
      <c r="E3" s="25">
        <f>SUBTOTAL(9,E2:E2)</f>
        <v>69148</v>
      </c>
      <c r="H3" s="4"/>
      <c r="I3" s="7"/>
      <c r="J3" s="5"/>
      <c r="K3" s="6"/>
      <c r="L3" s="8"/>
    </row>
    <row r="4" spans="1:12" outlineLevel="1" x14ac:dyDescent="0.25">
      <c r="A4" s="4"/>
      <c r="B4" s="7"/>
      <c r="C4" s="9" t="s">
        <v>26</v>
      </c>
      <c r="D4" s="6">
        <f>SUBTOTAL(3,D2:D2)</f>
        <v>1</v>
      </c>
      <c r="E4" s="25"/>
      <c r="H4" s="4"/>
      <c r="I4" s="7"/>
      <c r="J4" s="5"/>
      <c r="K4" s="6"/>
      <c r="L4" s="8"/>
    </row>
    <row r="5" spans="1:12" outlineLevel="3" x14ac:dyDescent="0.25">
      <c r="A5" s="4" t="s">
        <v>14</v>
      </c>
      <c r="B5" s="7">
        <v>28567</v>
      </c>
      <c r="C5" s="5" t="s">
        <v>18</v>
      </c>
      <c r="D5" s="6" t="s">
        <v>25</v>
      </c>
      <c r="E5" s="25">
        <v>57911</v>
      </c>
      <c r="H5" s="4"/>
      <c r="I5" s="7"/>
      <c r="J5" s="5"/>
      <c r="K5" s="6"/>
      <c r="L5" s="8"/>
    </row>
    <row r="6" spans="1:12" outlineLevel="2" x14ac:dyDescent="0.25">
      <c r="A6" s="4"/>
      <c r="B6" s="7"/>
      <c r="C6" s="9" t="s">
        <v>34</v>
      </c>
      <c r="D6" s="6"/>
      <c r="E6" s="25">
        <f>SUBTOTAL(9,E5:E5)</f>
        <v>57911</v>
      </c>
      <c r="H6" s="4"/>
      <c r="I6" s="7"/>
      <c r="J6" s="5"/>
      <c r="K6" s="6"/>
      <c r="L6" s="8"/>
    </row>
    <row r="7" spans="1:12" outlineLevel="1" x14ac:dyDescent="0.25">
      <c r="A7" s="4"/>
      <c r="B7" s="7"/>
      <c r="C7" s="9" t="s">
        <v>27</v>
      </c>
      <c r="D7" s="6">
        <f>SUBTOTAL(3,D5:D5)</f>
        <v>1</v>
      </c>
      <c r="E7" s="25"/>
      <c r="H7" s="4"/>
      <c r="I7" s="7"/>
      <c r="J7" s="5"/>
      <c r="K7" s="6"/>
      <c r="L7" s="8"/>
    </row>
    <row r="8" spans="1:12" outlineLevel="3" x14ac:dyDescent="0.25">
      <c r="A8" s="4" t="s">
        <v>10</v>
      </c>
      <c r="B8" s="7">
        <v>26783</v>
      </c>
      <c r="C8" s="5" t="s">
        <v>17</v>
      </c>
      <c r="D8" s="6" t="s">
        <v>23</v>
      </c>
      <c r="E8" s="25">
        <v>67911</v>
      </c>
      <c r="H8" s="4"/>
      <c r="I8" s="7"/>
      <c r="J8" s="5"/>
      <c r="K8" s="6"/>
      <c r="L8" s="8"/>
    </row>
    <row r="9" spans="1:12" outlineLevel="3" x14ac:dyDescent="0.25">
      <c r="A9" s="4" t="s">
        <v>11</v>
      </c>
      <c r="B9" s="7">
        <v>30934</v>
      </c>
      <c r="C9" s="5" t="s">
        <v>17</v>
      </c>
      <c r="D9" s="6" t="s">
        <v>23</v>
      </c>
      <c r="E9" s="25">
        <v>52688</v>
      </c>
      <c r="H9" s="4"/>
      <c r="I9" s="7"/>
      <c r="J9" s="5"/>
      <c r="K9" s="6"/>
      <c r="L9" s="8"/>
    </row>
    <row r="10" spans="1:12" outlineLevel="3" x14ac:dyDescent="0.25">
      <c r="A10" s="4" t="s">
        <v>12</v>
      </c>
      <c r="B10" s="7">
        <v>27544</v>
      </c>
      <c r="C10" s="5" t="s">
        <v>17</v>
      </c>
      <c r="D10" s="6" t="s">
        <v>23</v>
      </c>
      <c r="E10" s="25">
        <v>58228</v>
      </c>
      <c r="H10" s="4"/>
      <c r="I10" s="7"/>
      <c r="J10" s="5"/>
      <c r="K10" s="6"/>
      <c r="L10" s="8"/>
    </row>
    <row r="11" spans="1:12" outlineLevel="2" x14ac:dyDescent="0.25">
      <c r="A11" s="4"/>
      <c r="B11" s="7"/>
      <c r="C11" s="9" t="s">
        <v>35</v>
      </c>
      <c r="D11" s="6"/>
      <c r="E11" s="25">
        <f>SUBTOTAL(9,E8:E10)</f>
        <v>178827</v>
      </c>
      <c r="H11" s="4"/>
      <c r="I11" s="7"/>
      <c r="J11" s="5"/>
      <c r="K11" s="6"/>
      <c r="L11" s="8"/>
    </row>
    <row r="12" spans="1:12" outlineLevel="1" x14ac:dyDescent="0.25">
      <c r="A12" s="4"/>
      <c r="B12" s="7"/>
      <c r="C12" s="9" t="s">
        <v>28</v>
      </c>
      <c r="D12" s="6">
        <f>SUBTOTAL(3,D8:D10)</f>
        <v>3</v>
      </c>
      <c r="E12" s="25"/>
      <c r="H12" s="4"/>
      <c r="I12" s="7"/>
      <c r="J12" s="5"/>
      <c r="K12" s="6"/>
      <c r="L12" s="8"/>
    </row>
    <row r="13" spans="1:12" outlineLevel="3" x14ac:dyDescent="0.25">
      <c r="A13" s="4" t="s">
        <v>7</v>
      </c>
      <c r="B13" s="7">
        <v>28564</v>
      </c>
      <c r="C13" s="5" t="s">
        <v>16</v>
      </c>
      <c r="D13" s="6" t="s">
        <v>21</v>
      </c>
      <c r="E13" s="25">
        <v>52911</v>
      </c>
      <c r="H13" s="4"/>
      <c r="I13" s="7"/>
      <c r="J13" s="5"/>
      <c r="K13" s="6"/>
      <c r="L13" s="8"/>
    </row>
    <row r="14" spans="1:12" outlineLevel="3" x14ac:dyDescent="0.25">
      <c r="A14" s="4" t="s">
        <v>8</v>
      </c>
      <c r="B14" s="7">
        <v>28435</v>
      </c>
      <c r="C14" s="5" t="s">
        <v>16</v>
      </c>
      <c r="D14" s="6" t="s">
        <v>21</v>
      </c>
      <c r="E14" s="25">
        <v>48228</v>
      </c>
      <c r="H14" s="4"/>
      <c r="I14" s="7"/>
      <c r="J14" s="5"/>
      <c r="K14" s="6"/>
      <c r="L14" s="8"/>
    </row>
    <row r="15" spans="1:12" outlineLevel="2" x14ac:dyDescent="0.25">
      <c r="A15" s="4"/>
      <c r="B15" s="7"/>
      <c r="C15" s="9" t="s">
        <v>36</v>
      </c>
      <c r="D15" s="6"/>
      <c r="E15" s="25">
        <f>SUBTOTAL(9,E13:E14)</f>
        <v>101139</v>
      </c>
      <c r="H15" s="4"/>
      <c r="I15" s="7"/>
      <c r="J15" s="5"/>
      <c r="K15" s="6"/>
      <c r="L15" s="8"/>
    </row>
    <row r="16" spans="1:12" outlineLevel="1" x14ac:dyDescent="0.25">
      <c r="A16" s="4"/>
      <c r="B16" s="7"/>
      <c r="C16" s="9" t="s">
        <v>29</v>
      </c>
      <c r="D16" s="6">
        <f>SUBTOTAL(3,D13:D14)</f>
        <v>2</v>
      </c>
      <c r="E16" s="25"/>
      <c r="H16" s="4"/>
      <c r="I16" s="7"/>
      <c r="J16" s="5"/>
      <c r="K16" s="6"/>
      <c r="L16" s="8"/>
    </row>
    <row r="17" spans="1:12" outlineLevel="3" x14ac:dyDescent="0.25">
      <c r="A17" s="4" t="s">
        <v>9</v>
      </c>
      <c r="B17" s="7">
        <v>29438</v>
      </c>
      <c r="C17" s="5" t="s">
        <v>16</v>
      </c>
      <c r="D17" s="6" t="s">
        <v>22</v>
      </c>
      <c r="E17" s="25">
        <v>39148</v>
      </c>
      <c r="H17" s="4"/>
      <c r="I17" s="7"/>
      <c r="J17" s="5"/>
      <c r="K17" s="6"/>
      <c r="L17" s="8"/>
    </row>
    <row r="18" spans="1:12" outlineLevel="2" x14ac:dyDescent="0.25">
      <c r="A18" s="4"/>
      <c r="B18" s="7"/>
      <c r="C18" s="9" t="s">
        <v>36</v>
      </c>
      <c r="D18" s="6"/>
      <c r="E18" s="25">
        <f>SUBTOTAL(9,E17:E17)</f>
        <v>39148</v>
      </c>
      <c r="H18" s="4"/>
      <c r="I18" s="7"/>
      <c r="J18" s="5"/>
      <c r="K18" s="6"/>
      <c r="L18" s="8"/>
    </row>
    <row r="19" spans="1:12" outlineLevel="1" x14ac:dyDescent="0.25">
      <c r="A19" s="4"/>
      <c r="B19" s="7"/>
      <c r="C19" s="9" t="s">
        <v>30</v>
      </c>
      <c r="D19" s="6">
        <f>SUBTOTAL(3,D17:D17)</f>
        <v>1</v>
      </c>
      <c r="E19" s="25"/>
      <c r="H19" s="4"/>
      <c r="I19" s="7"/>
      <c r="J19" s="5"/>
      <c r="K19" s="6"/>
      <c r="L19" s="8"/>
    </row>
    <row r="20" spans="1:12" outlineLevel="3" x14ac:dyDescent="0.25">
      <c r="A20" s="4" t="s">
        <v>5</v>
      </c>
      <c r="B20" s="7">
        <v>29790</v>
      </c>
      <c r="C20" s="5" t="s">
        <v>15</v>
      </c>
      <c r="D20" s="6" t="s">
        <v>19</v>
      </c>
      <c r="E20" s="25">
        <v>42888</v>
      </c>
      <c r="H20" s="4"/>
      <c r="I20" s="7"/>
      <c r="J20" s="5"/>
      <c r="K20" s="6"/>
      <c r="L20" s="8"/>
    </row>
    <row r="21" spans="1:12" outlineLevel="2" x14ac:dyDescent="0.25">
      <c r="A21" s="4"/>
      <c r="B21" s="7"/>
      <c r="C21" s="9" t="s">
        <v>37</v>
      </c>
      <c r="D21" s="6"/>
      <c r="E21" s="25">
        <f>SUBTOTAL(9,E20:E20)</f>
        <v>42888</v>
      </c>
      <c r="H21" s="4"/>
      <c r="I21" s="7"/>
      <c r="J21" s="5"/>
      <c r="K21" s="6"/>
      <c r="L21" s="8"/>
    </row>
    <row r="22" spans="1:12" outlineLevel="1" x14ac:dyDescent="0.25">
      <c r="A22" s="4"/>
      <c r="B22" s="7"/>
      <c r="C22" s="9" t="s">
        <v>31</v>
      </c>
      <c r="D22" s="6">
        <f>SUBTOTAL(3,D20:D20)</f>
        <v>1</v>
      </c>
      <c r="E22" s="25"/>
      <c r="H22" s="4"/>
      <c r="I22" s="7"/>
      <c r="J22" s="5"/>
      <c r="K22" s="6"/>
      <c r="L22" s="8"/>
    </row>
    <row r="23" spans="1:12" outlineLevel="3" x14ac:dyDescent="0.25">
      <c r="A23" s="4" t="s">
        <v>6</v>
      </c>
      <c r="B23" s="7">
        <v>29572</v>
      </c>
      <c r="C23" s="5" t="s">
        <v>15</v>
      </c>
      <c r="D23" s="6" t="s">
        <v>20</v>
      </c>
      <c r="E23" s="25">
        <v>38228</v>
      </c>
      <c r="H23" s="4"/>
      <c r="I23" s="7"/>
      <c r="J23" s="5"/>
      <c r="K23" s="6"/>
      <c r="L23" s="8"/>
    </row>
    <row r="24" spans="1:12" outlineLevel="2" x14ac:dyDescent="0.25">
      <c r="A24" s="4"/>
      <c r="B24" s="7"/>
      <c r="C24" s="9" t="s">
        <v>37</v>
      </c>
      <c r="D24" s="6"/>
      <c r="E24" s="25">
        <f>SUBTOTAL(9,E23:E23)</f>
        <v>38228</v>
      </c>
      <c r="H24" s="4"/>
      <c r="I24" s="7"/>
      <c r="J24" s="5"/>
      <c r="K24" s="6"/>
      <c r="L24" s="8"/>
    </row>
    <row r="25" spans="1:12" outlineLevel="1" x14ac:dyDescent="0.25">
      <c r="A25" s="4"/>
      <c r="B25" s="7"/>
      <c r="C25" s="9" t="s">
        <v>32</v>
      </c>
      <c r="D25" s="6">
        <f>SUBTOTAL(3,D23:D23)</f>
        <v>1</v>
      </c>
      <c r="E25" s="25"/>
      <c r="H25" s="4"/>
      <c r="I25" s="7"/>
      <c r="J25" s="5"/>
      <c r="K25" s="6"/>
      <c r="L25" s="8"/>
    </row>
    <row r="26" spans="1:12" x14ac:dyDescent="0.25">
      <c r="A26" s="4"/>
      <c r="B26" s="7"/>
      <c r="C26" s="9" t="s">
        <v>38</v>
      </c>
      <c r="D26" s="6"/>
      <c r="E26" s="25">
        <f>SUBTOTAL(9,E2:E23)</f>
        <v>527289</v>
      </c>
      <c r="H26" s="4"/>
      <c r="I26" s="7"/>
      <c r="J26" s="5"/>
      <c r="K26" s="6"/>
      <c r="L26" s="8"/>
    </row>
    <row r="27" spans="1:12" x14ac:dyDescent="0.25">
      <c r="A27" s="4"/>
      <c r="B27" s="7"/>
      <c r="C27" s="9" t="s">
        <v>33</v>
      </c>
      <c r="D27" s="6">
        <f>SUBTOTAL(3,D2:D23)</f>
        <v>10</v>
      </c>
      <c r="E27" s="8"/>
      <c r="H27" s="4"/>
      <c r="I27" s="7"/>
      <c r="J27" s="5"/>
      <c r="K27" s="6"/>
      <c r="L27" s="8"/>
    </row>
  </sheetData>
  <sortState xmlns:xlrd2="http://schemas.microsoft.com/office/spreadsheetml/2017/richdata2" ref="A2:E23">
    <sortCondition ref="C1:C23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D787-C4D0-4FD4-A188-29F7E962E97B}">
  <dimension ref="A1:L18"/>
  <sheetViews>
    <sheetView zoomScale="115" zoomScaleNormal="115" workbookViewId="0">
      <selection activeCell="I19" sqref="I19"/>
    </sheetView>
  </sheetViews>
  <sheetFormatPr defaultRowHeight="15" x14ac:dyDescent="0.25"/>
  <cols>
    <col min="1" max="1" width="11.5703125" bestFit="1" customWidth="1"/>
    <col min="2" max="2" width="8.85546875" bestFit="1" customWidth="1"/>
    <col min="3" max="3" width="11.5703125" bestFit="1" customWidth="1"/>
    <col min="4" max="4" width="12.42578125" bestFit="1" customWidth="1"/>
    <col min="5" max="5" width="11.5703125" bestFit="1" customWidth="1"/>
    <col min="7" max="7" width="13.42578125" bestFit="1" customWidth="1"/>
    <col min="8" max="8" width="13.140625" customWidth="1"/>
    <col min="10" max="11" width="11.42578125" customWidth="1"/>
    <col min="13" max="13" width="13" customWidth="1"/>
  </cols>
  <sheetData>
    <row r="1" spans="1:12" ht="45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2" t="s">
        <v>39</v>
      </c>
      <c r="G1" s="3" t="s">
        <v>43</v>
      </c>
      <c r="H1" s="2" t="s">
        <v>40</v>
      </c>
      <c r="K1" s="15" t="s">
        <v>44</v>
      </c>
      <c r="L1" s="19"/>
    </row>
    <row r="2" spans="1:12" x14ac:dyDescent="0.25">
      <c r="A2" s="10" t="s">
        <v>5</v>
      </c>
      <c r="B2" s="11">
        <v>29790</v>
      </c>
      <c r="C2" s="12" t="s">
        <v>15</v>
      </c>
      <c r="D2" s="13" t="s">
        <v>19</v>
      </c>
      <c r="E2" s="25">
        <v>42888</v>
      </c>
      <c r="F2" s="14" t="s">
        <v>41</v>
      </c>
      <c r="G2" s="18">
        <f t="shared" ref="G2:G11" si="0">DATEDIF(B2,$K$2,"y")</f>
        <v>38</v>
      </c>
      <c r="H2">
        <v>2</v>
      </c>
      <c r="K2" s="17">
        <v>43831</v>
      </c>
    </row>
    <row r="3" spans="1:12" x14ac:dyDescent="0.25">
      <c r="A3" s="10" t="s">
        <v>6</v>
      </c>
      <c r="B3" s="11">
        <v>29572</v>
      </c>
      <c r="C3" s="12" t="s">
        <v>15</v>
      </c>
      <c r="D3" s="13" t="s">
        <v>20</v>
      </c>
      <c r="E3" s="25">
        <v>38228</v>
      </c>
      <c r="F3" s="14" t="s">
        <v>41</v>
      </c>
      <c r="G3" s="18">
        <f t="shared" si="0"/>
        <v>39</v>
      </c>
      <c r="H3">
        <v>1</v>
      </c>
    </row>
    <row r="4" spans="1:12" x14ac:dyDescent="0.25">
      <c r="A4" s="10" t="s">
        <v>7</v>
      </c>
      <c r="B4" s="11">
        <v>28564</v>
      </c>
      <c r="C4" s="12" t="s">
        <v>16</v>
      </c>
      <c r="D4" s="13" t="s">
        <v>21</v>
      </c>
      <c r="E4" s="25">
        <v>52911</v>
      </c>
      <c r="F4" s="14" t="s">
        <v>42</v>
      </c>
      <c r="G4" s="18">
        <f t="shared" si="0"/>
        <v>41</v>
      </c>
      <c r="H4">
        <v>4</v>
      </c>
    </row>
    <row r="5" spans="1:12" x14ac:dyDescent="0.25">
      <c r="A5" s="10" t="s">
        <v>8</v>
      </c>
      <c r="B5" s="11">
        <v>28435</v>
      </c>
      <c r="C5" s="12" t="s">
        <v>16</v>
      </c>
      <c r="D5" s="13" t="s">
        <v>21</v>
      </c>
      <c r="E5" s="26">
        <v>48228</v>
      </c>
      <c r="F5" s="14" t="s">
        <v>42</v>
      </c>
      <c r="G5" s="18">
        <f t="shared" si="0"/>
        <v>42</v>
      </c>
      <c r="H5">
        <v>1</v>
      </c>
    </row>
    <row r="6" spans="1:12" x14ac:dyDescent="0.25">
      <c r="A6" s="10" t="s">
        <v>9</v>
      </c>
      <c r="B6" s="11">
        <v>29438</v>
      </c>
      <c r="C6" s="12" t="s">
        <v>16</v>
      </c>
      <c r="D6" s="13" t="s">
        <v>22</v>
      </c>
      <c r="E6" s="25">
        <v>39148</v>
      </c>
      <c r="F6" s="14" t="s">
        <v>41</v>
      </c>
      <c r="G6" s="18">
        <f t="shared" si="0"/>
        <v>39</v>
      </c>
      <c r="H6">
        <v>2</v>
      </c>
    </row>
    <row r="7" spans="1:12" x14ac:dyDescent="0.25">
      <c r="A7" s="10" t="s">
        <v>10</v>
      </c>
      <c r="B7" s="11">
        <v>26783</v>
      </c>
      <c r="C7" s="12" t="s">
        <v>17</v>
      </c>
      <c r="D7" s="13" t="s">
        <v>23</v>
      </c>
      <c r="E7" s="25">
        <v>67911</v>
      </c>
      <c r="F7" s="14" t="s">
        <v>42</v>
      </c>
      <c r="G7" s="18">
        <f t="shared" si="0"/>
        <v>46</v>
      </c>
      <c r="H7">
        <v>1</v>
      </c>
    </row>
    <row r="8" spans="1:12" x14ac:dyDescent="0.25">
      <c r="A8" s="10" t="s">
        <v>11</v>
      </c>
      <c r="B8" s="11">
        <v>30934</v>
      </c>
      <c r="C8" s="12" t="s">
        <v>17</v>
      </c>
      <c r="D8" s="13" t="s">
        <v>23</v>
      </c>
      <c r="E8" s="25">
        <v>52688</v>
      </c>
      <c r="F8" s="14" t="s">
        <v>42</v>
      </c>
      <c r="G8" s="18">
        <f t="shared" si="0"/>
        <v>35</v>
      </c>
      <c r="H8">
        <v>1</v>
      </c>
    </row>
    <row r="9" spans="1:12" x14ac:dyDescent="0.25">
      <c r="A9" s="10" t="s">
        <v>12</v>
      </c>
      <c r="B9" s="11">
        <v>27544</v>
      </c>
      <c r="C9" s="12" t="s">
        <v>17</v>
      </c>
      <c r="D9" s="13" t="s">
        <v>23</v>
      </c>
      <c r="E9" s="25">
        <v>58228</v>
      </c>
      <c r="F9" s="14" t="s">
        <v>42</v>
      </c>
      <c r="G9" s="18">
        <f t="shared" si="0"/>
        <v>44</v>
      </c>
      <c r="H9">
        <v>5</v>
      </c>
    </row>
    <row r="10" spans="1:12" x14ac:dyDescent="0.25">
      <c r="A10" s="10" t="s">
        <v>13</v>
      </c>
      <c r="B10" s="11">
        <v>29500</v>
      </c>
      <c r="C10" s="12" t="s">
        <v>18</v>
      </c>
      <c r="D10" s="13" t="s">
        <v>24</v>
      </c>
      <c r="E10" s="25">
        <v>69148</v>
      </c>
      <c r="F10" s="14" t="s">
        <v>41</v>
      </c>
      <c r="G10" s="18">
        <f t="shared" si="0"/>
        <v>39</v>
      </c>
      <c r="H10">
        <v>3</v>
      </c>
    </row>
    <row r="11" spans="1:12" x14ac:dyDescent="0.25">
      <c r="A11" s="10" t="s">
        <v>14</v>
      </c>
      <c r="B11" s="11">
        <v>28567</v>
      </c>
      <c r="C11" s="12" t="s">
        <v>18</v>
      </c>
      <c r="D11" s="13" t="s">
        <v>25</v>
      </c>
      <c r="E11" s="25">
        <v>57911</v>
      </c>
      <c r="F11" s="14" t="s">
        <v>42</v>
      </c>
      <c r="G11" s="18">
        <f t="shared" si="0"/>
        <v>41</v>
      </c>
      <c r="H11">
        <v>0</v>
      </c>
    </row>
    <row r="14" spans="1:12" x14ac:dyDescent="0.25">
      <c r="A14" s="21" t="s">
        <v>45</v>
      </c>
      <c r="C14" s="21" t="s">
        <v>47</v>
      </c>
      <c r="E14" s="23" t="s">
        <v>48</v>
      </c>
    </row>
    <row r="15" spans="1:12" ht="30" x14ac:dyDescent="0.25">
      <c r="A15" s="20" t="s">
        <v>43</v>
      </c>
      <c r="C15" s="2" t="s">
        <v>2</v>
      </c>
      <c r="E15" s="2" t="s">
        <v>39</v>
      </c>
    </row>
    <row r="16" spans="1:12" x14ac:dyDescent="0.25">
      <c r="A16" s="15" t="s">
        <v>46</v>
      </c>
      <c r="C16" s="15" t="s">
        <v>16</v>
      </c>
      <c r="E16" s="15" t="s">
        <v>41</v>
      </c>
    </row>
    <row r="17" spans="1:5" x14ac:dyDescent="0.25">
      <c r="C17" s="15" t="s">
        <v>18</v>
      </c>
    </row>
    <row r="18" spans="1:5" x14ac:dyDescent="0.25">
      <c r="A18" s="27">
        <f>DAVERAGE(A1:H11,E1,A15:A16)</f>
        <v>57037.8</v>
      </c>
      <c r="C18" s="28">
        <f>DMAX(A1:H11,E1,C15:C17)</f>
        <v>69148</v>
      </c>
      <c r="E18" s="22">
        <f>DSUM(A1:H11,H1,E15:E16)</f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2F88-D8F6-421C-8AAC-21D92A8A8AF0}">
  <dimension ref="A1:D25"/>
  <sheetViews>
    <sheetView zoomScale="205" zoomScaleNormal="205" workbookViewId="0">
      <selection activeCell="A27" sqref="A27"/>
    </sheetView>
  </sheetViews>
  <sheetFormatPr defaultRowHeight="15" outlineLevelRow="1" x14ac:dyDescent="0.25"/>
  <cols>
    <col min="1" max="1" width="22.5703125" bestFit="1" customWidth="1"/>
    <col min="2" max="2" width="6.28515625" customWidth="1"/>
    <col min="3" max="3" width="11.5703125" bestFit="1" customWidth="1"/>
    <col min="4" max="4" width="10.5703125" bestFit="1" customWidth="1"/>
  </cols>
  <sheetData>
    <row r="1" spans="1:4" x14ac:dyDescent="0.25">
      <c r="C1" t="s">
        <v>50</v>
      </c>
      <c r="D1" t="s">
        <v>51</v>
      </c>
    </row>
    <row r="2" spans="1:4" hidden="1" outlineLevel="1" x14ac:dyDescent="0.25">
      <c r="B2" t="s">
        <v>58</v>
      </c>
      <c r="C2">
        <f>Склад1!$B$2</f>
        <v>5</v>
      </c>
      <c r="D2" s="29">
        <f>Склад1!$C$2</f>
        <v>615</v>
      </c>
    </row>
    <row r="3" spans="1:4" hidden="1" outlineLevel="1" collapsed="1" x14ac:dyDescent="0.25">
      <c r="B3" t="s">
        <v>58</v>
      </c>
      <c r="C3">
        <f>Склад2!$B$2</f>
        <v>55</v>
      </c>
      <c r="D3" s="29">
        <f>Склад2!$C$2</f>
        <v>11000</v>
      </c>
    </row>
    <row r="4" spans="1:4" hidden="1" outlineLevel="1" collapsed="1" x14ac:dyDescent="0.25">
      <c r="B4" t="s">
        <v>58</v>
      </c>
      <c r="C4">
        <f>Склад3!$B$2</f>
        <v>120</v>
      </c>
      <c r="D4" s="29">
        <f>Склад3!$C$2</f>
        <v>12000</v>
      </c>
    </row>
    <row r="5" spans="1:4" collapsed="1" x14ac:dyDescent="0.25">
      <c r="A5" t="s">
        <v>57</v>
      </c>
      <c r="C5">
        <f>SUM(C2:C4)</f>
        <v>180</v>
      </c>
      <c r="D5" s="29">
        <f>SUM(D2:D4)</f>
        <v>23615</v>
      </c>
    </row>
    <row r="6" spans="1:4" hidden="1" outlineLevel="1" x14ac:dyDescent="0.25">
      <c r="B6" t="s">
        <v>58</v>
      </c>
      <c r="C6">
        <f>Склад1!$B$3</f>
        <v>56</v>
      </c>
      <c r="D6" s="29">
        <f>Склад1!$C$3</f>
        <v>25200</v>
      </c>
    </row>
    <row r="7" spans="1:4" hidden="1" outlineLevel="1" collapsed="1" x14ac:dyDescent="0.25">
      <c r="B7" t="s">
        <v>58</v>
      </c>
      <c r="C7">
        <f>Склад2!$B$3</f>
        <v>15</v>
      </c>
      <c r="D7" s="29">
        <f>Склад2!$C$3</f>
        <v>9000</v>
      </c>
    </row>
    <row r="8" spans="1:4" hidden="1" outlineLevel="1" collapsed="1" x14ac:dyDescent="0.25">
      <c r="B8" t="s">
        <v>58</v>
      </c>
      <c r="C8">
        <f>Склад3!$B$3</f>
        <v>98</v>
      </c>
      <c r="D8" s="29">
        <f>Склад3!$C$3</f>
        <v>19600</v>
      </c>
    </row>
    <row r="9" spans="1:4" collapsed="1" x14ac:dyDescent="0.25">
      <c r="A9" t="s">
        <v>52</v>
      </c>
      <c r="C9">
        <f>SUM(C6:C8)</f>
        <v>169</v>
      </c>
      <c r="D9" s="29">
        <f>SUM(D6:D8)</f>
        <v>53800</v>
      </c>
    </row>
    <row r="10" spans="1:4" hidden="1" outlineLevel="1" x14ac:dyDescent="0.25">
      <c r="B10" t="s">
        <v>58</v>
      </c>
      <c r="C10">
        <f>Склад1!$B$4</f>
        <v>24</v>
      </c>
      <c r="D10" s="29">
        <f>Склад1!$C$4</f>
        <v>13200</v>
      </c>
    </row>
    <row r="11" spans="1:4" hidden="1" outlineLevel="1" collapsed="1" x14ac:dyDescent="0.25">
      <c r="B11" t="s">
        <v>58</v>
      </c>
      <c r="C11">
        <f>Склад2!$B$4</f>
        <v>28</v>
      </c>
      <c r="D11" s="29">
        <f>Склад2!$C$4</f>
        <v>19600</v>
      </c>
    </row>
    <row r="12" spans="1:4" hidden="1" outlineLevel="1" collapsed="1" x14ac:dyDescent="0.25">
      <c r="B12" t="s">
        <v>58</v>
      </c>
      <c r="C12">
        <f>Склад3!$B$4</f>
        <v>76</v>
      </c>
      <c r="D12" s="29">
        <f>Склад3!$C$4</f>
        <v>19000</v>
      </c>
    </row>
    <row r="13" spans="1:4" collapsed="1" x14ac:dyDescent="0.25">
      <c r="A13" t="s">
        <v>53</v>
      </c>
      <c r="C13">
        <f>SUM(C10:C12)</f>
        <v>128</v>
      </c>
      <c r="D13" s="29">
        <f>SUM(D10:D12)</f>
        <v>51800</v>
      </c>
    </row>
    <row r="14" spans="1:4" hidden="1" outlineLevel="1" x14ac:dyDescent="0.25">
      <c r="B14" t="s">
        <v>58</v>
      </c>
      <c r="C14">
        <f>Склад1!$B$5</f>
        <v>14</v>
      </c>
      <c r="D14" s="29">
        <f>Склад1!$C$5</f>
        <v>7140</v>
      </c>
    </row>
    <row r="15" spans="1:4" hidden="1" outlineLevel="1" collapsed="1" x14ac:dyDescent="0.25">
      <c r="B15" t="s">
        <v>58</v>
      </c>
      <c r="C15">
        <f>Склад2!$B$5</f>
        <v>45</v>
      </c>
      <c r="D15" s="29">
        <f>Склад2!$C$5</f>
        <v>31500</v>
      </c>
    </row>
    <row r="16" spans="1:4" hidden="1" outlineLevel="1" collapsed="1" x14ac:dyDescent="0.25">
      <c r="B16" t="s">
        <v>58</v>
      </c>
      <c r="C16">
        <f>Склад3!$B$5</f>
        <v>54</v>
      </c>
      <c r="D16" s="29">
        <f>Склад3!$C$5</f>
        <v>162000</v>
      </c>
    </row>
    <row r="17" spans="1:4" collapsed="1" x14ac:dyDescent="0.25">
      <c r="A17" t="s">
        <v>56</v>
      </c>
      <c r="C17">
        <f>SUM(C14:C16)</f>
        <v>113</v>
      </c>
      <c r="D17" s="29">
        <f>SUM(D14:D16)</f>
        <v>200640</v>
      </c>
    </row>
    <row r="18" spans="1:4" hidden="1" outlineLevel="1" x14ac:dyDescent="0.25">
      <c r="B18" t="s">
        <v>58</v>
      </c>
      <c r="C18">
        <f>Склад1!$B$6</f>
        <v>83</v>
      </c>
      <c r="D18" s="29">
        <f>Склад1!$C$6</f>
        <v>42496</v>
      </c>
    </row>
    <row r="19" spans="1:4" hidden="1" outlineLevel="1" collapsed="1" x14ac:dyDescent="0.25">
      <c r="B19" t="s">
        <v>58</v>
      </c>
      <c r="C19">
        <f>Склад2!$B$6</f>
        <v>56</v>
      </c>
      <c r="D19" s="29">
        <f>Склад2!$C$6</f>
        <v>57344</v>
      </c>
    </row>
    <row r="20" spans="1:4" hidden="1" outlineLevel="1" collapsed="1" x14ac:dyDescent="0.25">
      <c r="B20" t="s">
        <v>58</v>
      </c>
      <c r="C20">
        <f>Склад3!$B$6</f>
        <v>49</v>
      </c>
      <c r="D20" s="29">
        <f>Склад3!$C$6</f>
        <v>200704</v>
      </c>
    </row>
    <row r="21" spans="1:4" collapsed="1" x14ac:dyDescent="0.25">
      <c r="A21" t="s">
        <v>55</v>
      </c>
      <c r="C21">
        <f>SUM(C18:C20)</f>
        <v>188</v>
      </c>
      <c r="D21" s="29">
        <f>SUM(D18:D20)</f>
        <v>300544</v>
      </c>
    </row>
    <row r="22" spans="1:4" hidden="1" outlineLevel="1" x14ac:dyDescent="0.25">
      <c r="B22" t="s">
        <v>58</v>
      </c>
      <c r="C22">
        <f>Склад1!$B$7</f>
        <v>11</v>
      </c>
      <c r="D22" s="29">
        <f>Склад1!$C$7</f>
        <v>4400</v>
      </c>
    </row>
    <row r="23" spans="1:4" hidden="1" outlineLevel="1" collapsed="1" x14ac:dyDescent="0.25">
      <c r="B23" t="s">
        <v>58</v>
      </c>
      <c r="C23">
        <f>Склад2!$B$7</f>
        <v>99</v>
      </c>
      <c r="D23" s="29">
        <f>Склад2!$C$7</f>
        <v>89100</v>
      </c>
    </row>
    <row r="24" spans="1:4" hidden="1" outlineLevel="1" collapsed="1" x14ac:dyDescent="0.25">
      <c r="B24" t="s">
        <v>58</v>
      </c>
      <c r="C24">
        <f>Склад3!$B$7</f>
        <v>69</v>
      </c>
      <c r="D24" s="29">
        <f>Склад3!$C$7</f>
        <v>3450</v>
      </c>
    </row>
    <row r="25" spans="1:4" collapsed="1" x14ac:dyDescent="0.25">
      <c r="A25" t="s">
        <v>54</v>
      </c>
      <c r="C25">
        <f>SUM(C22:C24)</f>
        <v>179</v>
      </c>
      <c r="D25" s="29">
        <f>SUM(D22:D24)</f>
        <v>96950</v>
      </c>
    </row>
  </sheetData>
  <dataConsolidate topLabels="1" link="1">
    <dataRefs count="3">
      <dataRef ref="A1:C7" sheet="Склад1"/>
      <dataRef ref="A1:C7" sheet="Склад2"/>
      <dataRef ref="A1:C7" sheet="Склад3"/>
    </dataRefs>
  </dataConsolid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3D1C-5859-4F76-9998-B4530AED0A76}">
  <dimension ref="A1:C25"/>
  <sheetViews>
    <sheetView zoomScale="235" zoomScaleNormal="235" workbookViewId="0">
      <selection activeCell="B29" sqref="B29"/>
    </sheetView>
  </sheetViews>
  <sheetFormatPr defaultRowHeight="15" outlineLevelRow="1" x14ac:dyDescent="0.25"/>
  <cols>
    <col min="1" max="1" width="23" bestFit="1" customWidth="1"/>
    <col min="2" max="2" width="20.140625" customWidth="1"/>
    <col min="3" max="3" width="11.5703125" bestFit="1" customWidth="1"/>
    <col min="4" max="4" width="10.7109375" bestFit="1" customWidth="1"/>
  </cols>
  <sheetData>
    <row r="1" spans="1:3" x14ac:dyDescent="0.25">
      <c r="A1" t="s">
        <v>49</v>
      </c>
      <c r="B1" t="s">
        <v>50</v>
      </c>
      <c r="C1" t="s">
        <v>51</v>
      </c>
    </row>
    <row r="2" spans="1:3" hidden="1" outlineLevel="1" x14ac:dyDescent="0.25">
      <c r="B2">
        <f>'Склад_1-3'!$B$2</f>
        <v>5</v>
      </c>
      <c r="C2" s="29">
        <f>'Склад_1-3'!$C$2</f>
        <v>615</v>
      </c>
    </row>
    <row r="3" spans="1:3" hidden="1" outlineLevel="1" collapsed="1" x14ac:dyDescent="0.25">
      <c r="B3">
        <f>'Склад_1-3'!$G$2</f>
        <v>55</v>
      </c>
      <c r="C3" s="29">
        <f>'Склад_1-3'!$H$2</f>
        <v>11000</v>
      </c>
    </row>
    <row r="4" spans="1:3" hidden="1" outlineLevel="1" collapsed="1" x14ac:dyDescent="0.25">
      <c r="B4">
        <f>'Склад_1-3'!$K$2</f>
        <v>120</v>
      </c>
      <c r="C4" s="29">
        <f>'Склад_1-3'!$L$2</f>
        <v>12000</v>
      </c>
    </row>
    <row r="5" spans="1:3" collapsed="1" x14ac:dyDescent="0.25">
      <c r="B5">
        <f>SUM(B2:B4)</f>
        <v>180</v>
      </c>
      <c r="C5" s="29">
        <f>SUM(C2:C4)</f>
        <v>23615</v>
      </c>
    </row>
    <row r="6" spans="1:3" hidden="1" outlineLevel="1" x14ac:dyDescent="0.25">
      <c r="B6">
        <f>'Склад_1-3'!$B$3</f>
        <v>56</v>
      </c>
      <c r="C6" s="29">
        <f>'Склад_1-3'!$C$3</f>
        <v>25200</v>
      </c>
    </row>
    <row r="7" spans="1:3" hidden="1" outlineLevel="1" collapsed="1" x14ac:dyDescent="0.25">
      <c r="B7">
        <f>'Склад_1-3'!$G$3</f>
        <v>15</v>
      </c>
      <c r="C7" s="29">
        <f>'Склад_1-3'!$H$3</f>
        <v>9000</v>
      </c>
    </row>
    <row r="8" spans="1:3" hidden="1" outlineLevel="1" collapsed="1" x14ac:dyDescent="0.25">
      <c r="B8">
        <f>'Склад_1-3'!$K$3</f>
        <v>98</v>
      </c>
      <c r="C8" s="29">
        <f>'Склад_1-3'!$L$3</f>
        <v>19600</v>
      </c>
    </row>
    <row r="9" spans="1:3" collapsed="1" x14ac:dyDescent="0.25">
      <c r="B9">
        <f>SUM(B6:B8)</f>
        <v>169</v>
      </c>
      <c r="C9" s="29">
        <f>SUM(C6:C8)</f>
        <v>53800</v>
      </c>
    </row>
    <row r="10" spans="1:3" hidden="1" outlineLevel="1" x14ac:dyDescent="0.25">
      <c r="B10">
        <f>'Склад_1-3'!$B$4</f>
        <v>24</v>
      </c>
      <c r="C10" s="29">
        <f>'Склад_1-3'!$C$4</f>
        <v>13200</v>
      </c>
    </row>
    <row r="11" spans="1:3" hidden="1" outlineLevel="1" collapsed="1" x14ac:dyDescent="0.25">
      <c r="B11">
        <f>'Склад_1-3'!$G$4</f>
        <v>28</v>
      </c>
      <c r="C11" s="29">
        <f>'Склад_1-3'!$H$4</f>
        <v>19600</v>
      </c>
    </row>
    <row r="12" spans="1:3" hidden="1" outlineLevel="1" collapsed="1" x14ac:dyDescent="0.25">
      <c r="B12">
        <f>'Склад_1-3'!$K$4</f>
        <v>76</v>
      </c>
      <c r="C12" s="29">
        <f>'Склад_1-3'!$L$4</f>
        <v>19000</v>
      </c>
    </row>
    <row r="13" spans="1:3" collapsed="1" x14ac:dyDescent="0.25">
      <c r="B13">
        <f>SUM(B10:B12)</f>
        <v>128</v>
      </c>
      <c r="C13" s="29">
        <f>SUM(C10:C12)</f>
        <v>51800</v>
      </c>
    </row>
    <row r="14" spans="1:3" hidden="1" outlineLevel="1" x14ac:dyDescent="0.25">
      <c r="B14">
        <f>'Склад_1-3'!$B$5</f>
        <v>14</v>
      </c>
      <c r="C14" s="29">
        <f>'Склад_1-3'!$C$5</f>
        <v>7140</v>
      </c>
    </row>
    <row r="15" spans="1:3" hidden="1" outlineLevel="1" collapsed="1" x14ac:dyDescent="0.25">
      <c r="B15">
        <f>'Склад_1-3'!$G$5</f>
        <v>45</v>
      </c>
      <c r="C15" s="29">
        <f>'Склад_1-3'!$H$5</f>
        <v>31500</v>
      </c>
    </row>
    <row r="16" spans="1:3" hidden="1" outlineLevel="1" collapsed="1" x14ac:dyDescent="0.25">
      <c r="B16">
        <f>'Склад_1-3'!$K$5</f>
        <v>54</v>
      </c>
      <c r="C16" s="29">
        <f>'Склад_1-3'!$L$5</f>
        <v>162000</v>
      </c>
    </row>
    <row r="17" spans="2:3" collapsed="1" x14ac:dyDescent="0.25">
      <c r="B17">
        <f>SUM(B14:B16)</f>
        <v>113</v>
      </c>
      <c r="C17" s="29">
        <f>SUM(C14:C16)</f>
        <v>200640</v>
      </c>
    </row>
    <row r="18" spans="2:3" hidden="1" outlineLevel="1" x14ac:dyDescent="0.25">
      <c r="B18">
        <f>'Склад_1-3'!$B$6</f>
        <v>83</v>
      </c>
      <c r="C18" s="29">
        <f>'Склад_1-3'!$C$6</f>
        <v>42496</v>
      </c>
    </row>
    <row r="19" spans="2:3" hidden="1" outlineLevel="1" collapsed="1" x14ac:dyDescent="0.25">
      <c r="B19">
        <f>'Склад_1-3'!$G$6</f>
        <v>56</v>
      </c>
      <c r="C19" s="29">
        <f>'Склад_1-3'!$H$6</f>
        <v>57344</v>
      </c>
    </row>
    <row r="20" spans="2:3" hidden="1" outlineLevel="1" collapsed="1" x14ac:dyDescent="0.25">
      <c r="B20">
        <f>'Склад_1-3'!$K$6</f>
        <v>49</v>
      </c>
      <c r="C20" s="29">
        <f>'Склад_1-3'!$L$6</f>
        <v>200704</v>
      </c>
    </row>
    <row r="21" spans="2:3" collapsed="1" x14ac:dyDescent="0.25">
      <c r="B21">
        <f>SUM(B18:B20)</f>
        <v>188</v>
      </c>
      <c r="C21" s="29">
        <f>SUM(C18:C20)</f>
        <v>300544</v>
      </c>
    </row>
    <row r="22" spans="2:3" hidden="1" outlineLevel="1" x14ac:dyDescent="0.25">
      <c r="B22">
        <f>'Склад_1-3'!$B$7</f>
        <v>11</v>
      </c>
      <c r="C22" s="29">
        <f>'Склад_1-3'!$C$7</f>
        <v>4400</v>
      </c>
    </row>
    <row r="23" spans="2:3" hidden="1" outlineLevel="1" collapsed="1" x14ac:dyDescent="0.25">
      <c r="B23">
        <f>'Склад_1-3'!$G$7</f>
        <v>99</v>
      </c>
      <c r="C23" s="29">
        <f>'Склад_1-3'!$H$7</f>
        <v>89100</v>
      </c>
    </row>
    <row r="24" spans="2:3" hidden="1" outlineLevel="1" collapsed="1" x14ac:dyDescent="0.25">
      <c r="B24">
        <f>'Склад_1-3'!$K$7</f>
        <v>69</v>
      </c>
      <c r="C24" s="29">
        <f>'Склад_1-3'!$L$7</f>
        <v>3450</v>
      </c>
    </row>
    <row r="25" spans="2:3" collapsed="1" x14ac:dyDescent="0.25">
      <c r="B25">
        <f>SUM(B22:B24)</f>
        <v>179</v>
      </c>
      <c r="C25" s="29">
        <f>SUM(C22:C24)</f>
        <v>96950</v>
      </c>
    </row>
  </sheetData>
  <dataConsolidate topLabels="1" link="1">
    <dataRefs count="3">
      <dataRef ref="A1:C7" sheet="Склад_1-3"/>
      <dataRef ref="F1:H7" sheet="Склад_1-3"/>
      <dataRef ref="K1:M7" sheet="Склад_1-3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FB2A-EF5F-4518-9E9B-C906925FAD10}">
  <dimension ref="A1:C7"/>
  <sheetViews>
    <sheetView zoomScale="235" zoomScaleNormal="235" workbookViewId="0">
      <selection activeCell="E25" sqref="E25"/>
    </sheetView>
  </sheetViews>
  <sheetFormatPr defaultRowHeight="15" x14ac:dyDescent="0.25"/>
  <cols>
    <col min="1" max="1" width="23" bestFit="1" customWidth="1"/>
    <col min="2" max="2" width="11.5703125" bestFit="1" customWidth="1"/>
    <col min="3" max="3" width="10.5703125" bestFit="1" customWidth="1"/>
  </cols>
  <sheetData>
    <row r="1" spans="1:3" x14ac:dyDescent="0.25">
      <c r="A1" s="24" t="s">
        <v>49</v>
      </c>
      <c r="B1" s="24" t="s">
        <v>50</v>
      </c>
      <c r="C1" s="24" t="s">
        <v>51</v>
      </c>
    </row>
    <row r="2" spans="1:3" x14ac:dyDescent="0.25">
      <c r="A2" t="s">
        <v>57</v>
      </c>
      <c r="B2">
        <v>5</v>
      </c>
      <c r="C2" s="29">
        <f>B2*123</f>
        <v>615</v>
      </c>
    </row>
    <row r="3" spans="1:3" x14ac:dyDescent="0.25">
      <c r="A3" t="s">
        <v>52</v>
      </c>
      <c r="B3">
        <v>56</v>
      </c>
      <c r="C3" s="29">
        <f>B3*450</f>
        <v>25200</v>
      </c>
    </row>
    <row r="4" spans="1:3" x14ac:dyDescent="0.25">
      <c r="A4" t="s">
        <v>53</v>
      </c>
      <c r="B4">
        <v>24</v>
      </c>
      <c r="C4" s="29">
        <f>B4*550</f>
        <v>13200</v>
      </c>
    </row>
    <row r="5" spans="1:3" x14ac:dyDescent="0.25">
      <c r="A5" t="s">
        <v>56</v>
      </c>
      <c r="B5">
        <v>14</v>
      </c>
      <c r="C5" s="29">
        <f>B5*510</f>
        <v>7140</v>
      </c>
    </row>
    <row r="6" spans="1:3" x14ac:dyDescent="0.25">
      <c r="A6" t="s">
        <v>55</v>
      </c>
      <c r="B6">
        <v>83</v>
      </c>
      <c r="C6" s="29">
        <f>B6*512</f>
        <v>42496</v>
      </c>
    </row>
    <row r="7" spans="1:3" x14ac:dyDescent="0.25">
      <c r="A7" t="s">
        <v>54</v>
      </c>
      <c r="B7">
        <v>11</v>
      </c>
      <c r="C7" s="29">
        <f>B7*400</f>
        <v>4400</v>
      </c>
    </row>
  </sheetData>
  <dataConsolidate topLabe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C19A-C7AD-4051-8308-9A67FCABD09C}">
  <dimension ref="A1:C7"/>
  <sheetViews>
    <sheetView zoomScale="235" zoomScaleNormal="235" workbookViewId="0">
      <selection activeCell="B14" sqref="B14"/>
    </sheetView>
  </sheetViews>
  <sheetFormatPr defaultRowHeight="15" x14ac:dyDescent="0.25"/>
  <cols>
    <col min="1" max="1" width="23.140625" bestFit="1" customWidth="1"/>
    <col min="2" max="2" width="11.5703125" bestFit="1" customWidth="1"/>
    <col min="3" max="3" width="10.7109375" bestFit="1" customWidth="1"/>
  </cols>
  <sheetData>
    <row r="1" spans="1:3" x14ac:dyDescent="0.25">
      <c r="A1" s="24" t="s">
        <v>49</v>
      </c>
      <c r="B1" s="24" t="s">
        <v>50</v>
      </c>
      <c r="C1" s="24" t="s">
        <v>51</v>
      </c>
    </row>
    <row r="2" spans="1:3" x14ac:dyDescent="0.25">
      <c r="A2" t="s">
        <v>57</v>
      </c>
      <c r="B2">
        <v>55</v>
      </c>
      <c r="C2" s="29">
        <f>B2*200</f>
        <v>11000</v>
      </c>
    </row>
    <row r="3" spans="1:3" x14ac:dyDescent="0.25">
      <c r="A3" t="s">
        <v>52</v>
      </c>
      <c r="B3">
        <v>15</v>
      </c>
      <c r="C3" s="29">
        <f>B3*600</f>
        <v>9000</v>
      </c>
    </row>
    <row r="4" spans="1:3" x14ac:dyDescent="0.25">
      <c r="A4" t="s">
        <v>53</v>
      </c>
      <c r="B4">
        <v>28</v>
      </c>
      <c r="C4" s="29">
        <f>B4*700</f>
        <v>19600</v>
      </c>
    </row>
    <row r="5" spans="1:3" x14ac:dyDescent="0.25">
      <c r="A5" t="s">
        <v>56</v>
      </c>
      <c r="B5">
        <v>45</v>
      </c>
      <c r="C5" s="29">
        <f>B5*700</f>
        <v>31500</v>
      </c>
    </row>
    <row r="6" spans="1:3" x14ac:dyDescent="0.25">
      <c r="A6" t="s">
        <v>55</v>
      </c>
      <c r="B6">
        <v>56</v>
      </c>
      <c r="C6" s="29">
        <f>B6*1024</f>
        <v>57344</v>
      </c>
    </row>
    <row r="7" spans="1:3" x14ac:dyDescent="0.25">
      <c r="A7" t="s">
        <v>54</v>
      </c>
      <c r="B7">
        <v>99</v>
      </c>
      <c r="C7" s="29">
        <f>B7*900</f>
        <v>89100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096A-1F3D-4DC0-BFF3-4CDEA0D234D0}">
  <dimension ref="A1:C7"/>
  <sheetViews>
    <sheetView zoomScale="235" zoomScaleNormal="235" workbookViewId="0">
      <selection activeCell="B9" sqref="B9"/>
    </sheetView>
  </sheetViews>
  <sheetFormatPr defaultRowHeight="15" x14ac:dyDescent="0.25"/>
  <cols>
    <col min="1" max="1" width="23.140625" bestFit="1" customWidth="1"/>
    <col min="2" max="2" width="11.5703125" bestFit="1" customWidth="1"/>
    <col min="3" max="3" width="10.7109375" bestFit="1" customWidth="1"/>
  </cols>
  <sheetData>
    <row r="1" spans="1:3" x14ac:dyDescent="0.25">
      <c r="A1" s="24" t="s">
        <v>49</v>
      </c>
      <c r="B1" s="24" t="s">
        <v>50</v>
      </c>
      <c r="C1" s="24" t="s">
        <v>51</v>
      </c>
    </row>
    <row r="2" spans="1:3" x14ac:dyDescent="0.25">
      <c r="A2" t="s">
        <v>57</v>
      </c>
      <c r="B2">
        <v>120</v>
      </c>
      <c r="C2" s="29">
        <f>B2*100</f>
        <v>12000</v>
      </c>
    </row>
    <row r="3" spans="1:3" x14ac:dyDescent="0.25">
      <c r="A3" t="s">
        <v>52</v>
      </c>
      <c r="B3">
        <v>98</v>
      </c>
      <c r="C3" s="29">
        <f>B3*200</f>
        <v>19600</v>
      </c>
    </row>
    <row r="4" spans="1:3" x14ac:dyDescent="0.25">
      <c r="A4" t="s">
        <v>53</v>
      </c>
      <c r="B4">
        <v>76</v>
      </c>
      <c r="C4" s="29">
        <f>B4*250</f>
        <v>19000</v>
      </c>
    </row>
    <row r="5" spans="1:3" x14ac:dyDescent="0.25">
      <c r="A5" t="s">
        <v>56</v>
      </c>
      <c r="B5">
        <v>54</v>
      </c>
      <c r="C5" s="29">
        <f>B5*3000</f>
        <v>162000</v>
      </c>
    </row>
    <row r="6" spans="1:3" x14ac:dyDescent="0.25">
      <c r="A6" t="s">
        <v>55</v>
      </c>
      <c r="B6">
        <v>49</v>
      </c>
      <c r="C6" s="29">
        <f>B6*4096</f>
        <v>200704</v>
      </c>
    </row>
    <row r="7" spans="1:3" x14ac:dyDescent="0.25">
      <c r="A7" t="s">
        <v>54</v>
      </c>
      <c r="B7">
        <v>69</v>
      </c>
      <c r="C7" s="29">
        <f>B7*50</f>
        <v>3450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E3484-B949-4ED8-882A-306C5A8B12E5}">
  <dimension ref="A1:M7"/>
  <sheetViews>
    <sheetView zoomScale="145" zoomScaleNormal="145" workbookViewId="0">
      <selection activeCell="M7" sqref="M7"/>
    </sheetView>
  </sheetViews>
  <sheetFormatPr defaultRowHeight="15" x14ac:dyDescent="0.25"/>
  <cols>
    <col min="1" max="1" width="23.140625" bestFit="1" customWidth="1"/>
    <col min="2" max="2" width="11.5703125" bestFit="1" customWidth="1"/>
    <col min="3" max="3" width="10.7109375" bestFit="1" customWidth="1"/>
    <col min="6" max="6" width="23.140625" bestFit="1" customWidth="1"/>
    <col min="7" max="7" width="11.5703125" bestFit="1" customWidth="1"/>
    <col min="8" max="8" width="10.7109375" bestFit="1" customWidth="1"/>
    <col min="11" max="11" width="11.5703125" bestFit="1" customWidth="1"/>
    <col min="12" max="12" width="10.7109375" bestFit="1" customWidth="1"/>
    <col min="13" max="13" width="23.140625" bestFit="1" customWidth="1"/>
  </cols>
  <sheetData>
    <row r="1" spans="1:13" x14ac:dyDescent="0.25">
      <c r="A1" s="24" t="s">
        <v>49</v>
      </c>
      <c r="B1" s="24" t="s">
        <v>50</v>
      </c>
      <c r="C1" s="24" t="s">
        <v>51</v>
      </c>
      <c r="F1" s="24" t="s">
        <v>49</v>
      </c>
      <c r="G1" s="24" t="s">
        <v>50</v>
      </c>
      <c r="H1" s="24" t="s">
        <v>51</v>
      </c>
      <c r="K1" s="24" t="s">
        <v>50</v>
      </c>
      <c r="L1" s="24" t="s">
        <v>51</v>
      </c>
      <c r="M1" s="24" t="s">
        <v>49</v>
      </c>
    </row>
    <row r="2" spans="1:13" x14ac:dyDescent="0.25">
      <c r="A2" t="s">
        <v>57</v>
      </c>
      <c r="B2">
        <v>5</v>
      </c>
      <c r="C2" s="29">
        <f>B2*123</f>
        <v>615</v>
      </c>
      <c r="F2" t="s">
        <v>57</v>
      </c>
      <c r="G2">
        <v>55</v>
      </c>
      <c r="H2" s="29">
        <f>G2*200</f>
        <v>11000</v>
      </c>
      <c r="K2">
        <v>120</v>
      </c>
      <c r="L2" s="29">
        <f>K2*100</f>
        <v>12000</v>
      </c>
      <c r="M2" t="s">
        <v>57</v>
      </c>
    </row>
    <row r="3" spans="1:13" x14ac:dyDescent="0.25">
      <c r="A3" t="s">
        <v>52</v>
      </c>
      <c r="B3">
        <v>56</v>
      </c>
      <c r="C3" s="29">
        <f>B3*450</f>
        <v>25200</v>
      </c>
      <c r="F3" t="s">
        <v>52</v>
      </c>
      <c r="G3">
        <v>15</v>
      </c>
      <c r="H3" s="29">
        <f>G3*600</f>
        <v>9000</v>
      </c>
      <c r="K3">
        <v>98</v>
      </c>
      <c r="L3" s="29">
        <f>K3*200</f>
        <v>19600</v>
      </c>
      <c r="M3" t="s">
        <v>52</v>
      </c>
    </row>
    <row r="4" spans="1:13" x14ac:dyDescent="0.25">
      <c r="A4" t="s">
        <v>53</v>
      </c>
      <c r="B4">
        <v>24</v>
      </c>
      <c r="C4" s="29">
        <f>B4*550</f>
        <v>13200</v>
      </c>
      <c r="F4" t="s">
        <v>53</v>
      </c>
      <c r="G4">
        <v>28</v>
      </c>
      <c r="H4" s="29">
        <f>G4*700</f>
        <v>19600</v>
      </c>
      <c r="K4">
        <v>76</v>
      </c>
      <c r="L4" s="29">
        <f>K4*250</f>
        <v>19000</v>
      </c>
      <c r="M4" t="s">
        <v>53</v>
      </c>
    </row>
    <row r="5" spans="1:13" x14ac:dyDescent="0.25">
      <c r="A5" t="s">
        <v>56</v>
      </c>
      <c r="B5">
        <v>14</v>
      </c>
      <c r="C5" s="29">
        <f>B5*510</f>
        <v>7140</v>
      </c>
      <c r="F5" t="s">
        <v>56</v>
      </c>
      <c r="G5">
        <v>45</v>
      </c>
      <c r="H5" s="29">
        <f>G5*700</f>
        <v>31500</v>
      </c>
      <c r="K5">
        <v>54</v>
      </c>
      <c r="L5" s="29">
        <f>K5*3000</f>
        <v>162000</v>
      </c>
      <c r="M5" t="s">
        <v>56</v>
      </c>
    </row>
    <row r="6" spans="1:13" x14ac:dyDescent="0.25">
      <c r="A6" t="s">
        <v>55</v>
      </c>
      <c r="B6">
        <v>83</v>
      </c>
      <c r="C6" s="29">
        <f>B6*512</f>
        <v>42496</v>
      </c>
      <c r="F6" t="s">
        <v>55</v>
      </c>
      <c r="G6">
        <v>56</v>
      </c>
      <c r="H6" s="29">
        <f>G6*1024</f>
        <v>57344</v>
      </c>
      <c r="K6">
        <v>49</v>
      </c>
      <c r="L6" s="29">
        <f>K6*4096</f>
        <v>200704</v>
      </c>
      <c r="M6" t="s">
        <v>55</v>
      </c>
    </row>
    <row r="7" spans="1:13" x14ac:dyDescent="0.25">
      <c r="A7" t="s">
        <v>54</v>
      </c>
      <c r="B7">
        <v>11</v>
      </c>
      <c r="C7" s="29">
        <f>B7*400</f>
        <v>4400</v>
      </c>
      <c r="F7" t="s">
        <v>54</v>
      </c>
      <c r="G7">
        <v>99</v>
      </c>
      <c r="H7" s="29">
        <f>G7*900</f>
        <v>89100</v>
      </c>
      <c r="K7">
        <v>69</v>
      </c>
      <c r="L7" s="29">
        <f>K7*50</f>
        <v>3450</v>
      </c>
      <c r="M7" t="s">
        <v>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E871-CB28-4DD3-B875-16A2CD90EC04}">
  <dimension ref="A1:F12"/>
  <sheetViews>
    <sheetView workbookViewId="0">
      <selection activeCell="A17" sqref="A17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11" bestFit="1" customWidth="1"/>
    <col min="4" max="4" width="5.7109375" bestFit="1" customWidth="1"/>
    <col min="5" max="5" width="11.5703125" bestFit="1" customWidth="1"/>
    <col min="6" max="6" width="7" bestFit="1" customWidth="1"/>
  </cols>
  <sheetData>
    <row r="1" spans="1:6" x14ac:dyDescent="0.25">
      <c r="A1" s="24" t="s">
        <v>44</v>
      </c>
      <c r="B1" s="24" t="s">
        <v>59</v>
      </c>
      <c r="C1" s="24" t="s">
        <v>60</v>
      </c>
      <c r="D1" s="24" t="s">
        <v>61</v>
      </c>
      <c r="E1" s="24" t="s">
        <v>50</v>
      </c>
      <c r="F1" s="24" t="s">
        <v>62</v>
      </c>
    </row>
    <row r="2" spans="1:6" x14ac:dyDescent="0.25">
      <c r="A2" s="16">
        <v>44945</v>
      </c>
      <c r="B2" s="5" t="s">
        <v>63</v>
      </c>
      <c r="C2" s="5" t="s">
        <v>64</v>
      </c>
      <c r="D2" s="5">
        <v>200</v>
      </c>
      <c r="E2" s="5">
        <v>30</v>
      </c>
      <c r="F2" s="5">
        <v>6000</v>
      </c>
    </row>
    <row r="3" spans="1:6" x14ac:dyDescent="0.25">
      <c r="A3" s="16">
        <v>44946</v>
      </c>
      <c r="B3" s="5" t="s">
        <v>63</v>
      </c>
      <c r="C3" s="5" t="s">
        <v>65</v>
      </c>
      <c r="D3" s="5">
        <v>150</v>
      </c>
      <c r="E3" s="5">
        <v>30</v>
      </c>
      <c r="F3" s="5">
        <v>4500</v>
      </c>
    </row>
    <row r="4" spans="1:6" x14ac:dyDescent="0.25">
      <c r="A4" s="16">
        <v>44947</v>
      </c>
      <c r="B4" s="5" t="s">
        <v>66</v>
      </c>
      <c r="C4" s="5" t="s">
        <v>67</v>
      </c>
      <c r="D4" s="5">
        <v>120</v>
      </c>
      <c r="E4" s="5">
        <v>10</v>
      </c>
      <c r="F4" s="5">
        <v>1200</v>
      </c>
    </row>
    <row r="5" spans="1:6" x14ac:dyDescent="0.25">
      <c r="A5" s="16">
        <v>44947</v>
      </c>
      <c r="B5" s="5" t="s">
        <v>66</v>
      </c>
      <c r="C5" s="5" t="s">
        <v>68</v>
      </c>
      <c r="D5" s="5">
        <v>145</v>
      </c>
      <c r="E5" s="5">
        <v>50</v>
      </c>
      <c r="F5" s="5">
        <v>7250</v>
      </c>
    </row>
    <row r="6" spans="1:6" x14ac:dyDescent="0.25">
      <c r="A6" s="16">
        <v>44948</v>
      </c>
      <c r="B6" s="5" t="s">
        <v>69</v>
      </c>
      <c r="C6" s="5" t="s">
        <v>70</v>
      </c>
      <c r="D6" s="5">
        <v>75</v>
      </c>
      <c r="E6" s="5">
        <v>120</v>
      </c>
      <c r="F6" s="5">
        <v>9000</v>
      </c>
    </row>
    <row r="7" spans="1:6" x14ac:dyDescent="0.25">
      <c r="A7" s="16">
        <v>44948</v>
      </c>
      <c r="B7" s="5" t="s">
        <v>69</v>
      </c>
      <c r="C7" s="5" t="s">
        <v>71</v>
      </c>
      <c r="D7" s="5">
        <v>45</v>
      </c>
      <c r="E7" s="5">
        <v>2</v>
      </c>
      <c r="F7" s="5">
        <v>90</v>
      </c>
    </row>
    <row r="8" spans="1:6" x14ac:dyDescent="0.25">
      <c r="A8" s="16">
        <v>44948</v>
      </c>
      <c r="B8" s="5" t="s">
        <v>69</v>
      </c>
      <c r="C8" s="5" t="s">
        <v>72</v>
      </c>
      <c r="D8" s="5">
        <v>50</v>
      </c>
      <c r="E8" s="5">
        <v>40</v>
      </c>
      <c r="F8" s="5">
        <v>2000</v>
      </c>
    </row>
    <row r="9" spans="1:6" x14ac:dyDescent="0.25">
      <c r="A9" s="16">
        <v>44950</v>
      </c>
      <c r="B9" s="5" t="s">
        <v>63</v>
      </c>
      <c r="C9" s="5" t="s">
        <v>64</v>
      </c>
      <c r="D9" s="5">
        <v>180</v>
      </c>
      <c r="E9" s="5">
        <v>20</v>
      </c>
      <c r="F9" s="5">
        <v>3600</v>
      </c>
    </row>
    <row r="10" spans="1:6" x14ac:dyDescent="0.25">
      <c r="A10" s="16">
        <v>44950</v>
      </c>
      <c r="B10" s="5" t="s">
        <v>63</v>
      </c>
      <c r="C10" s="5" t="s">
        <v>65</v>
      </c>
      <c r="D10" s="5">
        <v>135</v>
      </c>
      <c r="E10" s="5">
        <v>15</v>
      </c>
      <c r="F10" s="5">
        <v>2025</v>
      </c>
    </row>
    <row r="11" spans="1:6" x14ac:dyDescent="0.25">
      <c r="A11" s="16">
        <v>44950</v>
      </c>
      <c r="B11" s="5" t="s">
        <v>69</v>
      </c>
      <c r="C11" s="5" t="s">
        <v>70</v>
      </c>
      <c r="D11" s="5">
        <v>80</v>
      </c>
      <c r="E11" s="5">
        <v>70</v>
      </c>
      <c r="F11" s="5">
        <v>5600</v>
      </c>
    </row>
    <row r="12" spans="1:6" x14ac:dyDescent="0.25">
      <c r="A12" s="16">
        <v>44950</v>
      </c>
      <c r="B12" s="5" t="s">
        <v>69</v>
      </c>
      <c r="C12" s="5" t="s">
        <v>71</v>
      </c>
      <c r="D12" s="5">
        <v>50</v>
      </c>
      <c r="E12" s="5">
        <v>1</v>
      </c>
      <c r="F12" s="5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9B35-3633-4480-B445-D64B4FEA3FD6}">
  <dimension ref="A1:C7"/>
  <sheetViews>
    <sheetView workbookViewId="0">
      <selection activeCell="C23" sqref="C23"/>
    </sheetView>
  </sheetViews>
  <sheetFormatPr defaultRowHeight="15" x14ac:dyDescent="0.25"/>
  <cols>
    <col min="1" max="1" width="17.28515625" bestFit="1" customWidth="1"/>
    <col min="2" max="2" width="20.85546875" bestFit="1" customWidth="1"/>
    <col min="3" max="3" width="22.5703125" bestFit="1" customWidth="1"/>
  </cols>
  <sheetData>
    <row r="1" spans="1:3" x14ac:dyDescent="0.25">
      <c r="A1" s="30" t="s">
        <v>73</v>
      </c>
      <c r="B1" t="s">
        <v>74</v>
      </c>
      <c r="C1" t="s">
        <v>75</v>
      </c>
    </row>
    <row r="2" spans="1:3" x14ac:dyDescent="0.25">
      <c r="A2" s="31">
        <v>44945</v>
      </c>
      <c r="B2">
        <v>200</v>
      </c>
      <c r="C2">
        <v>6000</v>
      </c>
    </row>
    <row r="3" spans="1:3" x14ac:dyDescent="0.25">
      <c r="A3" s="31">
        <v>44946</v>
      </c>
      <c r="B3">
        <v>150</v>
      </c>
      <c r="C3">
        <v>4500</v>
      </c>
    </row>
    <row r="4" spans="1:3" x14ac:dyDescent="0.25">
      <c r="A4" s="31">
        <v>44947</v>
      </c>
      <c r="B4">
        <v>265</v>
      </c>
      <c r="C4">
        <v>8450</v>
      </c>
    </row>
    <row r="5" spans="1:3" x14ac:dyDescent="0.25">
      <c r="A5" s="31">
        <v>44948</v>
      </c>
      <c r="B5">
        <v>170</v>
      </c>
      <c r="C5">
        <v>11090</v>
      </c>
    </row>
    <row r="6" spans="1:3" x14ac:dyDescent="0.25">
      <c r="A6" s="31">
        <v>44950</v>
      </c>
      <c r="B6">
        <v>445</v>
      </c>
      <c r="C6">
        <v>11275</v>
      </c>
    </row>
    <row r="7" spans="1:3" x14ac:dyDescent="0.25">
      <c r="A7" s="31" t="s">
        <v>38</v>
      </c>
      <c r="B7">
        <v>1230</v>
      </c>
      <c r="C7">
        <v>41315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7F63-A5D7-4869-ADA3-9C38420CB991}">
  <dimension ref="A1:B22"/>
  <sheetViews>
    <sheetView workbookViewId="0">
      <pivotSelection pane="bottomRight" click="1" r:id="rId1">
        <pivotArea field="0" type="button" dataOnly="0" labelOnly="1" outline="0" axis="axisPage" fieldPosition="0"/>
      </pivotSelection>
    </sheetView>
  </sheetViews>
  <sheetFormatPr defaultRowHeight="15" x14ac:dyDescent="0.25"/>
  <cols>
    <col min="1" max="1" width="17.28515625" bestFit="1" customWidth="1"/>
    <col min="2" max="2" width="22.5703125" bestFit="1" customWidth="1"/>
    <col min="3" max="3" width="20.85546875" bestFit="1" customWidth="1"/>
    <col min="4" max="4" width="8" bestFit="1" customWidth="1"/>
    <col min="5" max="5" width="7.85546875" bestFit="1" customWidth="1"/>
    <col min="6" max="6" width="10.85546875" bestFit="1" customWidth="1"/>
    <col min="7" max="7" width="5.28515625" bestFit="1" customWidth="1"/>
    <col min="8" max="8" width="4.140625" bestFit="1" customWidth="1"/>
    <col min="9" max="9" width="11.85546875" bestFit="1" customWidth="1"/>
  </cols>
  <sheetData>
    <row r="1" spans="1:2" x14ac:dyDescent="0.25">
      <c r="A1" s="30" t="s">
        <v>44</v>
      </c>
      <c r="B1" t="s">
        <v>76</v>
      </c>
    </row>
    <row r="3" spans="1:2" x14ac:dyDescent="0.25">
      <c r="A3" s="30" t="s">
        <v>73</v>
      </c>
      <c r="B3" t="s">
        <v>75</v>
      </c>
    </row>
    <row r="4" spans="1:2" x14ac:dyDescent="0.25">
      <c r="A4" s="5" t="s">
        <v>67</v>
      </c>
      <c r="B4">
        <v>1200</v>
      </c>
    </row>
    <row r="5" spans="1:2" x14ac:dyDescent="0.25">
      <c r="A5" s="32">
        <v>120</v>
      </c>
      <c r="B5">
        <v>1200</v>
      </c>
    </row>
    <row r="6" spans="1:2" x14ac:dyDescent="0.25">
      <c r="A6" s="5" t="s">
        <v>64</v>
      </c>
      <c r="B6">
        <v>9600</v>
      </c>
    </row>
    <row r="7" spans="1:2" x14ac:dyDescent="0.25">
      <c r="A7" s="32">
        <v>180</v>
      </c>
      <c r="B7">
        <v>3600</v>
      </c>
    </row>
    <row r="8" spans="1:2" x14ac:dyDescent="0.25">
      <c r="A8" s="32">
        <v>200</v>
      </c>
      <c r="B8">
        <v>6000</v>
      </c>
    </row>
    <row r="9" spans="1:2" x14ac:dyDescent="0.25">
      <c r="A9" s="5" t="s">
        <v>65</v>
      </c>
      <c r="B9">
        <v>6525</v>
      </c>
    </row>
    <row r="10" spans="1:2" x14ac:dyDescent="0.25">
      <c r="A10" s="32">
        <v>135</v>
      </c>
      <c r="B10">
        <v>2025</v>
      </c>
    </row>
    <row r="11" spans="1:2" x14ac:dyDescent="0.25">
      <c r="A11" s="32">
        <v>150</v>
      </c>
      <c r="B11">
        <v>4500</v>
      </c>
    </row>
    <row r="12" spans="1:2" x14ac:dyDescent="0.25">
      <c r="A12" s="5" t="s">
        <v>72</v>
      </c>
      <c r="B12">
        <v>2000</v>
      </c>
    </row>
    <row r="13" spans="1:2" x14ac:dyDescent="0.25">
      <c r="A13" s="32">
        <v>50</v>
      </c>
      <c r="B13">
        <v>2000</v>
      </c>
    </row>
    <row r="14" spans="1:2" x14ac:dyDescent="0.25">
      <c r="A14" s="5" t="s">
        <v>70</v>
      </c>
      <c r="B14">
        <v>14600</v>
      </c>
    </row>
    <row r="15" spans="1:2" x14ac:dyDescent="0.25">
      <c r="A15" s="32">
        <v>75</v>
      </c>
      <c r="B15">
        <v>9000</v>
      </c>
    </row>
    <row r="16" spans="1:2" x14ac:dyDescent="0.25">
      <c r="A16" s="32">
        <v>80</v>
      </c>
      <c r="B16">
        <v>5600</v>
      </c>
    </row>
    <row r="17" spans="1:2" x14ac:dyDescent="0.25">
      <c r="A17" s="5" t="s">
        <v>68</v>
      </c>
      <c r="B17">
        <v>7250</v>
      </c>
    </row>
    <row r="18" spans="1:2" x14ac:dyDescent="0.25">
      <c r="A18" s="32">
        <v>145</v>
      </c>
      <c r="B18">
        <v>7250</v>
      </c>
    </row>
    <row r="19" spans="1:2" x14ac:dyDescent="0.25">
      <c r="A19" s="5" t="s">
        <v>71</v>
      </c>
      <c r="B19">
        <v>140</v>
      </c>
    </row>
    <row r="20" spans="1:2" x14ac:dyDescent="0.25">
      <c r="A20" s="32">
        <v>45</v>
      </c>
      <c r="B20">
        <v>90</v>
      </c>
    </row>
    <row r="21" spans="1:2" x14ac:dyDescent="0.25">
      <c r="A21" s="32">
        <v>50</v>
      </c>
      <c r="B21">
        <v>50</v>
      </c>
    </row>
    <row r="22" spans="1:2" x14ac:dyDescent="0.25">
      <c r="A22" s="5" t="s">
        <v>38</v>
      </c>
      <c r="B22">
        <v>41315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F1C8-74FF-4281-876F-54A8263CE297}">
  <dimension ref="A1:B12"/>
  <sheetViews>
    <sheetView workbookViewId="0">
      <selection activeCell="B21" sqref="B21"/>
    </sheetView>
  </sheetViews>
  <sheetFormatPr defaultRowHeight="15" x14ac:dyDescent="0.25"/>
  <cols>
    <col min="1" max="1" width="17.28515625" bestFit="1" customWidth="1"/>
    <col min="2" max="3" width="27" bestFit="1" customWidth="1"/>
    <col min="4" max="4" width="8" bestFit="1" customWidth="1"/>
    <col min="5" max="5" width="7.85546875" bestFit="1" customWidth="1"/>
    <col min="6" max="6" width="10.85546875" bestFit="1" customWidth="1"/>
    <col min="7" max="7" width="5.28515625" bestFit="1" customWidth="1"/>
    <col min="8" max="8" width="4.140625" bestFit="1" customWidth="1"/>
    <col min="9" max="9" width="11.85546875" bestFit="1" customWidth="1"/>
  </cols>
  <sheetData>
    <row r="1" spans="1:2" x14ac:dyDescent="0.25">
      <c r="A1" s="30" t="s">
        <v>73</v>
      </c>
      <c r="B1" t="s">
        <v>78</v>
      </c>
    </row>
    <row r="2" spans="1:2" x14ac:dyDescent="0.25">
      <c r="A2" s="5" t="s">
        <v>69</v>
      </c>
      <c r="B2">
        <v>233</v>
      </c>
    </row>
    <row r="3" spans="1:2" x14ac:dyDescent="0.25">
      <c r="A3" s="32" t="s">
        <v>72</v>
      </c>
      <c r="B3">
        <v>40</v>
      </c>
    </row>
    <row r="4" spans="1:2" x14ac:dyDescent="0.25">
      <c r="A4" s="32" t="s">
        <v>70</v>
      </c>
      <c r="B4">
        <v>190</v>
      </c>
    </row>
    <row r="5" spans="1:2" x14ac:dyDescent="0.25">
      <c r="A5" s="32" t="s">
        <v>71</v>
      </c>
      <c r="B5">
        <v>3</v>
      </c>
    </row>
    <row r="6" spans="1:2" x14ac:dyDescent="0.25">
      <c r="A6" s="5" t="s">
        <v>63</v>
      </c>
      <c r="B6">
        <v>95</v>
      </c>
    </row>
    <row r="7" spans="1:2" x14ac:dyDescent="0.25">
      <c r="A7" s="32" t="s">
        <v>64</v>
      </c>
      <c r="B7">
        <v>50</v>
      </c>
    </row>
    <row r="8" spans="1:2" x14ac:dyDescent="0.25">
      <c r="A8" s="32" t="s">
        <v>65</v>
      </c>
      <c r="B8">
        <v>45</v>
      </c>
    </row>
    <row r="9" spans="1:2" x14ac:dyDescent="0.25">
      <c r="A9" s="5" t="s">
        <v>66</v>
      </c>
      <c r="B9">
        <v>60</v>
      </c>
    </row>
    <row r="10" spans="1:2" x14ac:dyDescent="0.25">
      <c r="A10" s="32" t="s">
        <v>67</v>
      </c>
      <c r="B10">
        <v>10</v>
      </c>
    </row>
    <row r="11" spans="1:2" x14ac:dyDescent="0.25">
      <c r="A11" s="32" t="s">
        <v>68</v>
      </c>
      <c r="B11">
        <v>50</v>
      </c>
    </row>
    <row r="12" spans="1:2" x14ac:dyDescent="0.25">
      <c r="A12" s="5" t="s">
        <v>38</v>
      </c>
      <c r="B12">
        <v>388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998A2-BE98-421A-8A85-081CCB2256F1}">
  <dimension ref="A1:E10"/>
  <sheetViews>
    <sheetView workbookViewId="0">
      <selection activeCell="A4" sqref="A4"/>
    </sheetView>
  </sheetViews>
  <sheetFormatPr defaultRowHeight="15" x14ac:dyDescent="0.25"/>
  <cols>
    <col min="1" max="1" width="27" bestFit="1" customWidth="1"/>
    <col min="2" max="2" width="20.85546875" bestFit="1" customWidth="1"/>
    <col min="3" max="3" width="11.85546875" bestFit="1" customWidth="1"/>
    <col min="4" max="4" width="10.5703125" bestFit="1" customWidth="1"/>
    <col min="5" max="5" width="11.85546875" bestFit="1" customWidth="1"/>
    <col min="6" max="6" width="10.85546875" bestFit="1" customWidth="1"/>
    <col min="7" max="7" width="5.28515625" bestFit="1" customWidth="1"/>
    <col min="8" max="8" width="4.140625" bestFit="1" customWidth="1"/>
    <col min="9" max="9" width="11.85546875" bestFit="1" customWidth="1"/>
  </cols>
  <sheetData>
    <row r="1" spans="1:5" x14ac:dyDescent="0.25">
      <c r="A1" s="30" t="s">
        <v>78</v>
      </c>
      <c r="B1" s="30" t="s">
        <v>77</v>
      </c>
    </row>
    <row r="2" spans="1:5" x14ac:dyDescent="0.25">
      <c r="A2" s="30" t="s">
        <v>73</v>
      </c>
      <c r="B2" t="s">
        <v>69</v>
      </c>
      <c r="C2" t="s">
        <v>63</v>
      </c>
      <c r="D2" t="s">
        <v>66</v>
      </c>
      <c r="E2" t="s">
        <v>38</v>
      </c>
    </row>
    <row r="3" spans="1:5" x14ac:dyDescent="0.25">
      <c r="A3" s="5" t="s">
        <v>67</v>
      </c>
      <c r="D3">
        <v>10</v>
      </c>
      <c r="E3">
        <v>10</v>
      </c>
    </row>
    <row r="4" spans="1:5" x14ac:dyDescent="0.25">
      <c r="A4" s="5" t="s">
        <v>64</v>
      </c>
      <c r="C4">
        <v>50</v>
      </c>
      <c r="E4">
        <v>50</v>
      </c>
    </row>
    <row r="5" spans="1:5" x14ac:dyDescent="0.25">
      <c r="A5" s="5" t="s">
        <v>65</v>
      </c>
      <c r="C5">
        <v>45</v>
      </c>
      <c r="E5">
        <v>45</v>
      </c>
    </row>
    <row r="6" spans="1:5" x14ac:dyDescent="0.25">
      <c r="A6" s="5" t="s">
        <v>72</v>
      </c>
      <c r="B6">
        <v>40</v>
      </c>
      <c r="E6">
        <v>40</v>
      </c>
    </row>
    <row r="7" spans="1:5" x14ac:dyDescent="0.25">
      <c r="A7" s="5" t="s">
        <v>70</v>
      </c>
      <c r="B7">
        <v>190</v>
      </c>
      <c r="E7">
        <v>190</v>
      </c>
    </row>
    <row r="8" spans="1:5" x14ac:dyDescent="0.25">
      <c r="A8" s="5" t="s">
        <v>68</v>
      </c>
      <c r="D8">
        <v>50</v>
      </c>
      <c r="E8">
        <v>50</v>
      </c>
    </row>
    <row r="9" spans="1:5" x14ac:dyDescent="0.25">
      <c r="A9" s="5" t="s">
        <v>71</v>
      </c>
      <c r="B9">
        <v>3</v>
      </c>
      <c r="E9">
        <v>3</v>
      </c>
    </row>
    <row r="10" spans="1:5" x14ac:dyDescent="0.25">
      <c r="A10" s="5" t="s">
        <v>38</v>
      </c>
      <c r="B10">
        <v>233</v>
      </c>
      <c r="C10">
        <v>95</v>
      </c>
      <c r="D10">
        <v>60</v>
      </c>
      <c r="E10">
        <v>388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A264-7D80-4511-A71F-F3DFB98C8D57}">
  <dimension ref="A1:E10"/>
  <sheetViews>
    <sheetView workbookViewId="0">
      <selection activeCell="F12" sqref="F12"/>
    </sheetView>
  </sheetViews>
  <sheetFormatPr defaultRowHeight="15" x14ac:dyDescent="0.25"/>
  <cols>
    <col min="1" max="1" width="27" bestFit="1" customWidth="1"/>
    <col min="2" max="4" width="13.28515625" bestFit="1" customWidth="1"/>
    <col min="5" max="5" width="11.85546875" bestFit="1" customWidth="1"/>
    <col min="6" max="6" width="10.85546875" bestFit="1" customWidth="1"/>
    <col min="7" max="7" width="5.28515625" bestFit="1" customWidth="1"/>
    <col min="8" max="8" width="4.140625" bestFit="1" customWidth="1"/>
    <col min="9" max="9" width="11.85546875" bestFit="1" customWidth="1"/>
  </cols>
  <sheetData>
    <row r="1" spans="1:5" x14ac:dyDescent="0.25">
      <c r="A1" s="30" t="s">
        <v>78</v>
      </c>
      <c r="B1" s="30" t="s">
        <v>59</v>
      </c>
    </row>
    <row r="2" spans="1:5" x14ac:dyDescent="0.25">
      <c r="A2" s="30" t="s">
        <v>60</v>
      </c>
      <c r="B2" t="s">
        <v>69</v>
      </c>
      <c r="C2" t="s">
        <v>63</v>
      </c>
      <c r="D2" t="s">
        <v>66</v>
      </c>
      <c r="E2" t="s">
        <v>38</v>
      </c>
    </row>
    <row r="3" spans="1:5" x14ac:dyDescent="0.25">
      <c r="A3" t="s">
        <v>67</v>
      </c>
      <c r="D3">
        <v>10</v>
      </c>
      <c r="E3">
        <v>10</v>
      </c>
    </row>
    <row r="4" spans="1:5" x14ac:dyDescent="0.25">
      <c r="A4" t="s">
        <v>64</v>
      </c>
      <c r="C4">
        <v>50</v>
      </c>
      <c r="E4">
        <v>50</v>
      </c>
    </row>
    <row r="5" spans="1:5" x14ac:dyDescent="0.25">
      <c r="A5" t="s">
        <v>65</v>
      </c>
      <c r="C5">
        <v>45</v>
      </c>
      <c r="E5">
        <v>45</v>
      </c>
    </row>
    <row r="6" spans="1:5" x14ac:dyDescent="0.25">
      <c r="A6" t="s">
        <v>72</v>
      </c>
      <c r="B6">
        <v>40</v>
      </c>
      <c r="E6">
        <v>40</v>
      </c>
    </row>
    <row r="7" spans="1:5" x14ac:dyDescent="0.25">
      <c r="A7" t="s">
        <v>70</v>
      </c>
      <c r="B7">
        <v>190</v>
      </c>
      <c r="E7">
        <v>190</v>
      </c>
    </row>
    <row r="8" spans="1:5" x14ac:dyDescent="0.25">
      <c r="A8" t="s">
        <v>68</v>
      </c>
      <c r="D8">
        <v>50</v>
      </c>
      <c r="E8">
        <v>50</v>
      </c>
    </row>
    <row r="9" spans="1:5" x14ac:dyDescent="0.25">
      <c r="A9" t="s">
        <v>71</v>
      </c>
      <c r="B9">
        <v>3</v>
      </c>
      <c r="E9">
        <v>3</v>
      </c>
    </row>
    <row r="10" spans="1:5" x14ac:dyDescent="0.25">
      <c r="A10" t="s">
        <v>38</v>
      </c>
      <c r="B10">
        <v>233</v>
      </c>
      <c r="C10">
        <v>95</v>
      </c>
      <c r="D10">
        <v>60</v>
      </c>
      <c r="E10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Задание_1</vt:lpstr>
      <vt:lpstr>Задание_2</vt:lpstr>
      <vt:lpstr>Задание_3.1</vt:lpstr>
      <vt:lpstr>Задание_3.2</vt:lpstr>
      <vt:lpstr>Склад1</vt:lpstr>
      <vt:lpstr>Склад2</vt:lpstr>
      <vt:lpstr>Склад3</vt:lpstr>
      <vt:lpstr>Склад_1-3</vt:lpstr>
      <vt:lpstr>Задание_4</vt:lpstr>
      <vt:lpstr>Таблица_1</vt:lpstr>
      <vt:lpstr>Таблица_2</vt:lpstr>
      <vt:lpstr>Таблица_3</vt:lpstr>
      <vt:lpstr>Таблица_4</vt:lpstr>
      <vt:lpstr>Таблица_5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Марк</dc:creator>
  <cp:lastModifiedBy>Марк</cp:lastModifiedBy>
  <dcterms:created xsi:type="dcterms:W3CDTF">2015-06-05T18:17:20Z</dcterms:created>
  <dcterms:modified xsi:type="dcterms:W3CDTF">2025-11-09T18:03:35Z</dcterms:modified>
</cp:coreProperties>
</file>